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hnstephenkromer/Documents/GitHub/cmvp-capstone/docs/"/>
    </mc:Choice>
  </mc:AlternateContent>
  <xr:revisionPtr revIDLastSave="0" documentId="8_{1AE487D5-EE7A-6146-B87C-0108F6E7D7D3}" xr6:coauthVersionLast="47" xr6:coauthVersionMax="47" xr10:uidLastSave="{00000000-0000-0000-0000-000000000000}"/>
  <bookViews>
    <workbookView xWindow="9540" yWindow="1600" windowWidth="30040" windowHeight="21680" tabRatio="500" firstSheet="1" activeTab="10" xr2:uid="{00000000-000D-0000-FFFF-FFFF00000000}"/>
  </bookViews>
  <sheets>
    <sheet name="Index" sheetId="1" r:id="rId1"/>
    <sheet name="Scenario" sheetId="2" r:id="rId2"/>
    <sheet name="Baseline Monthly" sheetId="3" r:id="rId3"/>
    <sheet name="Reporting Monthly" sheetId="4" r:id="rId4"/>
    <sheet name="No-NRA Monthly" sheetId="5" r:id="rId5"/>
    <sheet name="Scatter Plots" sheetId="6" r:id="rId6"/>
    <sheet name="Model Results" sheetId="7" r:id="rId7"/>
    <sheet name="Lighting Calc" sheetId="8" r:id="rId8"/>
    <sheet name="Fan Law Calc" sheetId="9" r:id="rId9"/>
    <sheet name="Savings Calc" sheetId="10" r:id="rId10"/>
    <sheet name="NRA Summary" sheetId="11" r:id="rId1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10" l="1"/>
  <c r="C41" i="10"/>
  <c r="C39" i="10"/>
  <c r="C38" i="10"/>
  <c r="G34" i="10"/>
  <c r="H34" i="10" s="1"/>
  <c r="F34" i="10"/>
  <c r="I34" i="10" s="1"/>
  <c r="E34" i="10"/>
  <c r="G33" i="10"/>
  <c r="F33" i="10"/>
  <c r="I33" i="10" s="1"/>
  <c r="E33" i="10"/>
  <c r="H33" i="10" s="1"/>
  <c r="G32" i="10"/>
  <c r="H32" i="10" s="1"/>
  <c r="F32" i="10"/>
  <c r="I32" i="10" s="1"/>
  <c r="E32" i="10"/>
  <c r="G31" i="10"/>
  <c r="F31" i="10"/>
  <c r="I31" i="10" s="1"/>
  <c r="E31" i="10"/>
  <c r="H31" i="10" s="1"/>
  <c r="G30" i="10"/>
  <c r="H30" i="10" s="1"/>
  <c r="F30" i="10"/>
  <c r="I30" i="10" s="1"/>
  <c r="E30" i="10"/>
  <c r="G29" i="10"/>
  <c r="F29" i="10"/>
  <c r="I29" i="10" s="1"/>
  <c r="E29" i="10"/>
  <c r="H29" i="10" s="1"/>
  <c r="G28" i="10"/>
  <c r="H28" i="10" s="1"/>
  <c r="F28" i="10"/>
  <c r="I28" i="10" s="1"/>
  <c r="E28" i="10"/>
  <c r="G27" i="10"/>
  <c r="F27" i="10"/>
  <c r="I27" i="10" s="1"/>
  <c r="E27" i="10"/>
  <c r="H27" i="10" s="1"/>
  <c r="G26" i="10"/>
  <c r="H26" i="10" s="1"/>
  <c r="F26" i="10"/>
  <c r="I26" i="10" s="1"/>
  <c r="E26" i="10"/>
  <c r="G25" i="10"/>
  <c r="F25" i="10"/>
  <c r="I25" i="10" s="1"/>
  <c r="E25" i="10"/>
  <c r="H25" i="10" s="1"/>
  <c r="G24" i="10"/>
  <c r="H24" i="10" s="1"/>
  <c r="F24" i="10"/>
  <c r="I24" i="10" s="1"/>
  <c r="E24" i="10"/>
  <c r="G23" i="10"/>
  <c r="F23" i="10"/>
  <c r="I23" i="10" s="1"/>
  <c r="E23" i="10"/>
  <c r="H23" i="10" s="1"/>
  <c r="H35" i="10" s="1"/>
  <c r="E19" i="9"/>
  <c r="F19" i="9" s="1"/>
  <c r="G19" i="9" s="1"/>
  <c r="D19" i="9"/>
  <c r="D18" i="9"/>
  <c r="E18" i="9" s="1"/>
  <c r="F18" i="9" s="1"/>
  <c r="G18" i="9" s="1"/>
  <c r="D17" i="9"/>
  <c r="E17" i="9" s="1"/>
  <c r="F17" i="9" s="1"/>
  <c r="G17" i="9" s="1"/>
  <c r="C14" i="8"/>
  <c r="F13" i="8"/>
  <c r="H13" i="8" s="1"/>
  <c r="F12" i="8"/>
  <c r="H12" i="8" s="1"/>
  <c r="F11" i="8"/>
  <c r="H11" i="8" s="1"/>
  <c r="F10" i="8"/>
  <c r="H10" i="8" s="1"/>
  <c r="H9" i="8"/>
  <c r="F9" i="8"/>
  <c r="F8" i="8"/>
  <c r="H8" i="8" s="1"/>
  <c r="H7" i="8"/>
  <c r="F7" i="8"/>
  <c r="F6" i="8"/>
  <c r="H6" i="8" s="1"/>
  <c r="F5" i="8"/>
  <c r="H5" i="8" s="1"/>
  <c r="L17" i="4"/>
  <c r="K17" i="4"/>
  <c r="J17" i="4"/>
  <c r="I17" i="4"/>
  <c r="H17" i="4"/>
  <c r="G17" i="4"/>
  <c r="F17" i="4"/>
  <c r="E17" i="4"/>
  <c r="D17" i="4"/>
  <c r="C17" i="4"/>
  <c r="B17" i="4"/>
  <c r="L17" i="3"/>
  <c r="K17" i="3"/>
  <c r="J17" i="3"/>
  <c r="I17" i="3"/>
  <c r="H17" i="3"/>
  <c r="G17" i="3"/>
  <c r="F17" i="3"/>
  <c r="E17" i="3"/>
  <c r="D17" i="3"/>
  <c r="C17" i="3"/>
  <c r="B17" i="3"/>
  <c r="B38" i="10" l="1"/>
  <c r="D38" i="10" s="1"/>
  <c r="B41" i="10"/>
  <c r="D41" i="10" s="1"/>
  <c r="I35" i="10"/>
  <c r="H14" i="8"/>
  <c r="B39" i="10" l="1"/>
  <c r="D39" i="10" s="1"/>
  <c r="B42" i="10"/>
  <c r="D42" i="10" s="1"/>
  <c r="D43" i="10"/>
  <c r="D40" i="10"/>
</calcChain>
</file>

<file path=xl/sharedStrings.xml><?xml version="1.0" encoding="utf-8"?>
<sst xmlns="http://schemas.openxmlformats.org/spreadsheetml/2006/main" count="450" uniqueCount="343">
  <si>
    <t>Greenfield Municipal Center — Offline Data Package</t>
  </si>
  <si>
    <t>CMVP Capstone Project  ·  Use this workbook when the web app is unavailable</t>
  </si>
  <si>
    <t>Tab</t>
  </si>
  <si>
    <t>Sheet Name</t>
  </si>
  <si>
    <t>Purpose</t>
  </si>
  <si>
    <t>Used On</t>
  </si>
  <si>
    <t>1</t>
  </si>
  <si>
    <t>Index</t>
  </si>
  <si>
    <t>This page</t>
  </si>
  <si>
    <t>—</t>
  </si>
  <si>
    <t>2</t>
  </si>
  <si>
    <t>Scenario</t>
  </si>
  <si>
    <t>Building overview, ECM descriptions, contract terms</t>
  </si>
  <si>
    <t>Day 1</t>
  </si>
  <si>
    <t>3</t>
  </si>
  <si>
    <t>Baseline Monthly</t>
  </si>
  <si>
    <t>12-month baseline utility data + scatter plot data</t>
  </si>
  <si>
    <t>Day 1–2</t>
  </si>
  <si>
    <t>4</t>
  </si>
  <si>
    <t>Reporting Monthly</t>
  </si>
  <si>
    <t>12-month reporting period data (with NRA event)</t>
  </si>
  <si>
    <t>Day 2–3</t>
  </si>
  <si>
    <t>5</t>
  </si>
  <si>
    <t>No-NRA Monthly</t>
  </si>
  <si>
    <t>Reporting data without data center expansion (reference)</t>
  </si>
  <si>
    <t>Day 2</t>
  </si>
  <si>
    <t>6</t>
  </si>
  <si>
    <t>Scatter Plots</t>
  </si>
  <si>
    <t>OAT vs kWh / therms — ready for regression analysis</t>
  </si>
  <si>
    <t>7</t>
  </si>
  <si>
    <t>Model Results</t>
  </si>
  <si>
    <t>Pre-computed 5P model statistics and change points</t>
  </si>
  <si>
    <t>8</t>
  </si>
  <si>
    <t>Lighting Calc</t>
  </si>
  <si>
    <t>ECM-1 stipulation calculator — editable hours</t>
  </si>
  <si>
    <t>9</t>
  </si>
  <si>
    <t>Fan Law Calc</t>
  </si>
  <si>
    <t>ECM-4 VFD fan law calculator + pre/post spot data</t>
  </si>
  <si>
    <t>10</t>
  </si>
  <si>
    <t>Savings Calc</t>
  </si>
  <si>
    <t>Monthly savings, valuation, CO₂ (formula-driven)</t>
  </si>
  <si>
    <t>Day 3</t>
  </si>
  <si>
    <t>11</t>
  </si>
  <si>
    <t>NRA Summary</t>
  </si>
  <si>
    <t>Data center NRA — evidence and adjustment protocol</t>
  </si>
  <si>
    <t>Greenfield Municipal Center — Scenario Overview</t>
  </si>
  <si>
    <t>ESPC Contract  ·  Mid-Atlantic Climate  ·  62,000 sq ft</t>
  </si>
  <si>
    <t>BUILDING DESCRIPTION</t>
  </si>
  <si>
    <t>Location</t>
  </si>
  <si>
    <t>Mid-Atlantic region (heating-dominant; significant summer cooling)</t>
  </si>
  <si>
    <t>Total Area</t>
  </si>
  <si>
    <t>62,000 sq ft</t>
  </si>
  <si>
    <t>Contract Type</t>
  </si>
  <si>
    <t>Energy Savings Performance Contract (ESPC)</t>
  </si>
  <si>
    <t>Baseline Period</t>
  </si>
  <si>
    <t>Year 1 (12 months, Jan–Dec)</t>
  </si>
  <si>
    <t>Reporting Period</t>
  </si>
  <si>
    <t>Year 2 (12 months, Jan–Dec)</t>
  </si>
  <si>
    <t>WINGS / SPACES</t>
  </si>
  <si>
    <t>Wing A</t>
  </si>
  <si>
    <t>Office space — 35,000 sq ft, standard HVAC, Mon–Fri hours</t>
  </si>
  <si>
    <t>Wing B</t>
  </si>
  <si>
    <t>Public library &amp; community rooms — 15,000 sq ft, extended hours</t>
  </si>
  <si>
    <t>Wing C</t>
  </si>
  <si>
    <t>Data center / IT — 2,000 sq ft, 24/7 constant load</t>
  </si>
  <si>
    <t>Common Areas</t>
  </si>
  <si>
    <t>Lobby, corridors, mechanical rooms — 10,000 sq ft</t>
  </si>
  <si>
    <t>UTILITY RATES (for savings valuation)</t>
  </si>
  <si>
    <t>Electricity</t>
  </si>
  <si>
    <t>$0.105/kWh  (flat blended rate)</t>
  </si>
  <si>
    <t>Natural Gas</t>
  </si>
  <si>
    <t>$1.15/therm</t>
  </si>
  <si>
    <t>CO₂ EMISSION FACTORS</t>
  </si>
  <si>
    <t>0.417 kg CO₂/kWh  (mid-Atlantic grid average)</t>
  </si>
  <si>
    <t>5.302 kg CO₂/therm</t>
  </si>
  <si>
    <t>ECM SUMMARY</t>
  </si>
  <si>
    <t>ECM</t>
  </si>
  <si>
    <t>Description</t>
  </si>
  <si>
    <t>Expected Elec Savings
(kWh/yr)</t>
  </si>
  <si>
    <t>Expected Gas Savings
(therms/yr)</t>
  </si>
  <si>
    <t>M&amp;V Approach</t>
  </si>
  <si>
    <t>Approach Type</t>
  </si>
  <si>
    <t>Domain</t>
  </si>
  <si>
    <t>ECM-1</t>
  </si>
  <si>
    <t>LED lighting + occupancy controls (Wings A &amp; B)</t>
  </si>
  <si>
    <t>258,000</t>
  </si>
  <si>
    <t>Retrofit Isolation</t>
  </si>
  <si>
    <t>Stipulated (Option A)</t>
  </si>
  <si>
    <t>Domain 3</t>
  </si>
  <si>
    <t>ECM-2</t>
  </si>
  <si>
    <t>Chiller replacement (central plant)</t>
  </si>
  <si>
    <t>150,000</t>
  </si>
  <si>
    <t>Whole Facility or
Retrofit Isolation</t>
  </si>
  <si>
    <t>Student Decision</t>
  </si>
  <si>
    <t>Domain 2, 4</t>
  </si>
  <si>
    <t>ECM-3</t>
  </si>
  <si>
    <t>Building envelope — roof insulation</t>
  </si>
  <si>
    <t>~60,000</t>
  </si>
  <si>
    <t>~1,200</t>
  </si>
  <si>
    <t>Whole Facility</t>
  </si>
  <si>
    <t>Option C</t>
  </si>
  <si>
    <t>Domain 4</t>
  </si>
  <si>
    <t>ECM-4</t>
  </si>
  <si>
    <t>VFDs on AHU supply fans (3 units)</t>
  </si>
  <si>
    <t>85,000</t>
  </si>
  <si>
    <t>Continuous (Option B)</t>
  </si>
  <si>
    <t>Baseline Period — Monthly Utility Data</t>
  </si>
  <si>
    <t>12 months  ·  Pre-retrofit  ·  No ECMs installed</t>
  </si>
  <si>
    <t>Month</t>
  </si>
  <si>
    <t>Days</t>
  </si>
  <si>
    <t>Avg OAT
(°F)</t>
  </si>
  <si>
    <t>Total kWh</t>
  </si>
  <si>
    <t>Total
Therms</t>
  </si>
  <si>
    <t>Lighting
(kWh)</t>
  </si>
  <si>
    <t>Cooling
(kWh)</t>
  </si>
  <si>
    <t>Fan
(kWh)</t>
  </si>
  <si>
    <t>Plug
(kWh)</t>
  </si>
  <si>
    <t>Data Center
(kWh)</t>
  </si>
  <si>
    <t>Heating
(therms)</t>
  </si>
  <si>
    <t>DHW
(therms)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</si>
  <si>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</si>
  <si>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</si>
  <si>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</si>
  <si>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</si>
  <si>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</si>
  <si>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</si>
  <si>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</si>
  <si>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</si>
  <si>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</si>
  <si>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</si>
  <si>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</si>
  <si>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</si>
  <si>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/ AVG</t>
  </si>
  <si>
    <t>NOTE: Total kWh and Total Therms are the whole-facility independent variables used to fit the baseline model. Avg OAT is the primary independent variable. Subsystem columns (Lighting, Cooling, etc.) are provided for reference only — they are not available from utility bills in a real project.</t>
  </si>
  <si>
    <t>Reporting Period — Monthly Utility Data (with NRA Event)</t>
  </si>
  <si>
    <t>12 months  ·  Post-retrofit  ·  NRA: Data center expansion begins Month 8</t>
  </si>
  <si>
    <t>◄ NRA: Data center expansion</t>
  </si>
  <si>
    <t>SHADED ROWS (Months 8–12): Data center expansion adds ~14,880 kWh/month above what the baseline model predicts. This is the Non-Routine Adjustment (NRA) event. Without adjustment, these months show negative savings.</t>
  </si>
  <si>
    <t>Reporting Period — No NRA Scenario (Reference Only)</t>
  </si>
  <si>
    <t>Same weather, same retrofits — but data center load stays at baseline level</t>
  </si>
  <si>
    <t>Avg OAT (°F)</t>
  </si>
  <si>
    <t>Total Therms</t>
  </si>
  <si>
    <t>This is the counterfactual without the data center expansion NRA. Comparing this to 'Reporting Monthly' isolates exactly the NRA effect. Students: why do months 8–12 differ from the 'Reporting Monthly' tab?</t>
  </si>
  <si>
    <t>Scatter Plot Data — OAT vs. Energy Use</t>
  </si>
  <si>
    <t>Use this data to create scatter plots and fit regression models</t>
  </si>
  <si>
    <t>Baseline
Month</t>
  </si>
  <si>
    <t>Total kWh
(Baseline)</t>
  </si>
  <si>
    <t>Total Therms
(Baseline)</t>
  </si>
  <si>
    <t>Reporting
Month</t>
  </si>
  <si>
    <t>Total kWh
(Reporting)</t>
  </si>
  <si>
    <t>Total Therms
(Reporting)</t>
  </si>
  <si>
    <t>HOW TO USE:  (1) Select columns B &amp; C (OAT vs kWh) for a baseline electric scatter plot.  (2) Select columns B &amp; D (OAT vs Therms) for a baseline gas scatter plot.  (3) Insert &gt; Chart &gt; X-Y Scatter.  (4) Add a trendline.  Observation: Does the electric plot look linear? Where are the inflection points?</t>
  </si>
  <si>
    <t>Baseline Model Results — Pre-Computed Statistics</t>
  </si>
  <si>
    <t>5-Parameter Change-Point Model  ·  ASHRAE Guideline 14 Validation</t>
  </si>
  <si>
    <t>ELECTRIC MODEL (5-Parameter Change-Point)</t>
  </si>
  <si>
    <t>Model Type</t>
  </si>
  <si>
    <t>5P — Heating + Cooling change-point</t>
  </si>
  <si>
    <t>Heating Change Point (CP1)</t>
  </si>
  <si>
    <t>48 °F   [auto-fit optimal: 35 °F — see Teaching Moment 1]</t>
  </si>
  <si>
    <t>Cooling Change Point (CP2)</t>
  </si>
  <si>
    <t>63 °F   [auto-fit optimal: 71 °F — see Teaching Moment 1]</t>
  </si>
  <si>
    <t>Baseline (intercept)</t>
  </si>
  <si>
    <t>37,274 kWh/month</t>
  </si>
  <si>
    <t>Heating Slope</t>
  </si>
  <si>
    <t>−2,087 kWh/°F·month  (below CP1)</t>
  </si>
  <si>
    <t>Cooling Slope</t>
  </si>
  <si>
    <t>+1,664 kWh/°F·month  (above CP2)</t>
  </si>
  <si>
    <t>R² (coefficient of determination)</t>
  </si>
  <si>
    <t>0.91  (physically constrained)  /  0.95  (auto-fit)</t>
  </si>
  <si>
    <t>CV(RMSE)</t>
  </si>
  <si>
    <t>5.1%  (physically constrained)  /  3.8%  (auto-fit)</t>
  </si>
  <si>
    <t>NMBE</t>
  </si>
  <si>
    <t>0.3%</t>
  </si>
  <si>
    <t>Guideline 14 — CV(RMSE) ≤ 15%?</t>
  </si>
  <si>
    <t>✓  PASS</t>
  </si>
  <si>
    <t>Guideline 14 — NMBE ≤ 5%?</t>
  </si>
  <si>
    <t>GAS MODEL (3-Parameter Heating)</t>
  </si>
  <si>
    <t>3P — Heating change-point only</t>
  </si>
  <si>
    <t>Heating Change Point</t>
  </si>
  <si>
    <t>57 °F</t>
  </si>
  <si>
    <t>47 therms/month  (DHW baseload)</t>
  </si>
  <si>
    <t>−36.1 therms/°F·month  (below change point)</t>
  </si>
  <si>
    <t>R²</t>
  </si>
  <si>
    <t>0.97</t>
  </si>
  <si>
    <t>16.1%   ← EXCEEDS G14 threshold of 15%  [Teaching Moment 2]</t>
  </si>
  <si>
    <t>1.2%</t>
  </si>
  <si>
    <t>✗  FAIL — discuss: is this model still usable?</t>
  </si>
  <si>
    <t>★  TEACHING MOMENT 1 — Physics vs. Statistics</t>
  </si>
  <si>
    <t>The auto-fit algorithm finds change points at 35/71°F (R²=0.95) because they minimize residuals mathematically. But 35°F as a cooling balance point is physically unrealistic — no building switches to mechanical cooling at 35°F. The physically constrained model (48/63°F, R²=0.91) sacrifices statistical fit for interpretability. Which would you report? Why?</t>
  </si>
  <si>
    <t>ECM-1 Lighting Stipulation Calculator</t>
  </si>
  <si>
    <t>Key Parameter Measurement (cf. IPMVP Option A)  ·  Blue cells are editable</t>
  </si>
  <si>
    <t>#</t>
  </si>
  <si>
    <t>Space</t>
  </si>
  <si>
    <t>Fixture
Qty</t>
  </si>
  <si>
    <t>Baseline
(W/fixture)</t>
  </si>
  <si>
    <t>Retrofit
(W/fixture)</t>
  </si>
  <si>
    <t>ΔW
(W/fixture)</t>
  </si>
  <si>
    <t>Annual Hours
(editable)</t>
  </si>
  <si>
    <t>kWh Saved</t>
  </si>
  <si>
    <t>Wing A — Open Office (2nd floor)</t>
  </si>
  <si>
    <t>Wing A — Open Office (1st floor)</t>
  </si>
  <si>
    <t>Wing A — Private Offices</t>
  </si>
  <si>
    <t>Wing A — Conference Rooms</t>
  </si>
  <si>
    <t>Wing A — Corridors &amp; Restrooms</t>
  </si>
  <si>
    <t>Wing B — Reading Rooms</t>
  </si>
  <si>
    <t>Wing B — Stacks</t>
  </si>
  <si>
    <t>Wing B — Meeting Rooms</t>
  </si>
  <si>
    <t>Wing B — Circulation &amp; Entry</t>
  </si>
  <si>
    <t>TOTAL</t>
  </si>
  <si>
    <t>INSTRUCTIONS: Annual Hours (column G, blue) are stipulated values. Change them to test different schedule assumptions. What is your basis for each value? Typical ranges: offices 2,500–3,000 hrs; libraries/extended hours 3,500–4,500 hrs; corridors (always on) 3,000–4,000 hrs.</t>
  </si>
  <si>
    <t>★  TEACHING MOMENT 4 — Interactive Effects: This stipulation calculates ECM-1 savings in isolation. The whole-facility model (Savings Calc tab) shows different total savings because less lighting waste heat → less summer cooling load (good) but more winter heating load (bad). The stipulation does NOT capture these interactive effects.</t>
  </si>
  <si>
    <t>ECM-4 VFD Fan Law Calculator</t>
  </si>
  <si>
    <t>Continuous Performance Verification  ·  Fan Law: Power ∝ Speed³</t>
  </si>
  <si>
    <t>FAN LAW RELATIONSHIP</t>
  </si>
  <si>
    <t>Affinity Law</t>
  </si>
  <si>
    <t>P₂/P₁ = (N₂/N₁)³    where P = power (kW) and N = speed (%)</t>
  </si>
  <si>
    <t>Implication</t>
  </si>
  <si>
    <t>A 10% speed reduction → 27% power reduction (not 10%)</t>
  </si>
  <si>
    <t>A 35% speed reduction → 72.6% power reduction</t>
  </si>
  <si>
    <t>AHU NAMEPLATE DATA (Pre-VFD)</t>
  </si>
  <si>
    <t>AHU-1 (Wing A)</t>
  </si>
  <si>
    <t>Design: 100% speed = 8.85 kW, 15,000 CFM</t>
  </si>
  <si>
    <t>AHU-2 (Wing B/C)</t>
  </si>
  <si>
    <t>Design: 100% speed = 4.72 kW, 8,000 CFM</t>
  </si>
  <si>
    <t>AHU-3 (Common Areas)</t>
  </si>
  <si>
    <t>Design: 100% speed = 2.68 kW, 5,000 CFM</t>
  </si>
  <si>
    <t>FAN LAW CALCULATOR — Edit speed reduction to see power impact</t>
  </si>
  <si>
    <t>AHU</t>
  </si>
  <si>
    <t>Baseline
Power (kW)</t>
  </si>
  <si>
    <t>Speed
Reduction (%)
[EDIT THIS]</t>
  </si>
  <si>
    <t>New Speed
(%)</t>
  </si>
  <si>
    <t>Fan Law
Factor</t>
  </si>
  <si>
    <t>New Power
(kW)</t>
  </si>
  <si>
    <t>Power
Saved (kW)</t>
  </si>
  <si>
    <t>AHU-1</t>
  </si>
  <si>
    <t>AHU-2</t>
  </si>
  <si>
    <t>AHU-3</t>
  </si>
  <si>
    <t>SAMPLE SPOT MEASUREMENTS — Pre/Post VFD (March 15, Operating Hours)</t>
  </si>
  <si>
    <t>Hour</t>
  </si>
  <si>
    <t>OAT
(°F)</t>
  </si>
  <si>
    <t>AHU-1
Pre (kW)</t>
  </si>
  <si>
    <t>AHU-1
Post (kW)</t>
  </si>
  <si>
    <t>AHU-1
Speed %</t>
  </si>
  <si>
    <t>AHU-2
Pre (kW)</t>
  </si>
  <si>
    <t>AHU-2
Post (kW)</t>
  </si>
  <si>
    <t>AHU-2
Speed %</t>
  </si>
  <si>
    <t>AHU-3
Pre (kW)</t>
  </si>
  <si>
    <t>AHU-3
Post (kW)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</si>
  <si>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</si>
  <si>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</si>
  <si>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</si>
  <si>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</si>
  <si>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</si>
  <si>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</si>
  <si>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</si>
  <si>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</si>
  <si>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★  TEACHING MOMENT 5 — Fan Law: Notice AHU-1 at 09:00 drops from 8.85 kW (pre) to 3.93 kW (post) when speed is 89%. Fan law predicts: 0.89³ = 0.705 → 8.85 × 0.705 = 6.23 kW. Actual is lower because VAV dampers further reduce load. Key insight: small speed errors → large power errors. Continuous metering is better than spot measurement.</t>
  </si>
  <si>
    <t>Savings Calculator — Whole-Facility Method</t>
  </si>
  <si>
    <t>Formula-driven  ·  Uses 5P electric model + 3P gas model coefficients from Model Results tab</t>
  </si>
  <si>
    <t>MODEL ASSUMPTIONS (editable — blue cells)</t>
  </si>
  <si>
    <t>Electricity rate ($/kWh)</t>
  </si>
  <si>
    <t>Gas rate ($/therm)</t>
  </si>
  <si>
    <t>Elec CO₂ factor (kg/kWh)</t>
  </si>
  <si>
    <t>Gas CO₂ factor (kg/therm)</t>
  </si>
  <si>
    <t>Electric CP1 — heating (°F)</t>
  </si>
  <si>
    <t>Electric CP2 — cooling (°F)</t>
  </si>
  <si>
    <t>Elec baseline intercept (kWh/mo)</t>
  </si>
  <si>
    <t>Elec heating slope (kWh/°F)</t>
  </si>
  <si>
    <t>Elec cooling slope (kWh/°F)</t>
  </si>
  <si>
    <t>Gas CP — heating (°F)</t>
  </si>
  <si>
    <t>Gas baseline intercept (therms/mo)</t>
  </si>
  <si>
    <t>Gas heating slope (therms/°F)</t>
  </si>
  <si>
    <t>NRA adjustment (kWh/month, months 8-12)</t>
  </si>
  <si>
    <t>MONTHLY SAVINGS TABLE</t>
  </si>
  <si>
    <t>Actual
kWh</t>
  </si>
  <si>
    <t>Actual
Therms</t>
  </si>
  <si>
    <t>Predicted
kWh (model)</t>
  </si>
  <si>
    <t>Predicted
Therms</t>
  </si>
  <si>
    <t>NRA Adj
(kWh)</t>
  </si>
  <si>
    <t>Elec Savings
(kWh)</t>
  </si>
  <si>
    <t>Gas Savings
(therms)</t>
  </si>
  <si>
    <t>Notes</t>
  </si>
  <si>
    <t>★ NRA: Data center expansion</t>
  </si>
  <si>
    <t>ANNUAL TOTAL</t>
  </si>
  <si>
    <t>Item</t>
  </si>
  <si>
    <t>Quantity</t>
  </si>
  <si>
    <t>Rate</t>
  </si>
  <si>
    <t>Value ($)</t>
  </si>
  <si>
    <t>Electricity savings</t>
  </si>
  <si>
    <t>kWh × $/kWh</t>
  </si>
  <si>
    <t>Gas savings</t>
  </si>
  <si>
    <t>therms × $/therm</t>
  </si>
  <si>
    <t>TOTAL VALUE</t>
  </si>
  <si>
    <t>Elec CO₂ savings</t>
  </si>
  <si>
    <t>kWh × metric tons/kWh</t>
  </si>
  <si>
    <t>Gas CO₂ savings</t>
  </si>
  <si>
    <t>therms × metric tons/therm</t>
  </si>
  <si>
    <t>TOTAL CO₂ (metric tons)</t>
  </si>
  <si>
    <t>Non-Routine Adjustment — Data Center Expansion</t>
  </si>
  <si>
    <t>Teaching Moment 3  ·  Evidence, Quantification, and Reporting Protocol</t>
  </si>
  <si>
    <t>NRA EVENT DESCRIPTION</t>
  </si>
  <si>
    <t>Event</t>
  </si>
  <si>
    <t>Data center / IT operations expansion in Wing C</t>
  </si>
  <si>
    <t>Detection</t>
  </si>
  <si>
    <t>Step change in electric consumption visible in Time Series chart starting Month 8</t>
  </si>
  <si>
    <t>Month of onset</t>
  </si>
  <si>
    <t>Month 8 (August of reporting year)</t>
  </si>
  <si>
    <t>Affected months</t>
  </si>
  <si>
    <t>Months 8–12 (5 months)</t>
  </si>
  <si>
    <t>Approximate magnitude</t>
  </si>
  <si>
    <t>~14,880 kWh/month above model prediction</t>
  </si>
  <si>
    <t>Annual NRA total (Months 8–12)</t>
  </si>
  <si>
    <t>~74,400 kWh</t>
  </si>
  <si>
    <t>EVIDENCE REQUIRED</t>
  </si>
  <si>
    <t>Primary evidence</t>
  </si>
  <si>
    <t>IT asset inventory showing expanded server rack count and UPS load</t>
  </si>
  <si>
    <t>Supporting evidence 1</t>
  </si>
  <si>
    <t>Facilities work order or change order for Wing C expansion</t>
  </si>
  <si>
    <t>Supporting evidence 2</t>
  </si>
  <si>
    <t>Sub-meter data from Wing C data center panel (if available)</t>
  </si>
  <si>
    <t>Supporting evidence 3</t>
  </si>
  <si>
    <t>IT department written confirmation of expansion date and load</t>
  </si>
  <si>
    <t>WITHOUT NRA ADJUSTMENT</t>
  </si>
  <si>
    <t>Months 8–12 apparent savings</t>
  </si>
  <si>
    <t>NEGATIVE — project appears to have failed</t>
  </si>
  <si>
    <t>Annual savings (unadjusted)</t>
  </si>
  <si>
    <t>Reduced by ~74,400 kWh (~22% of expected savings)</t>
  </si>
  <si>
    <t>Contract risk</t>
  </si>
  <si>
    <t>ESCO may face penalty payment despite actual retrofit performance</t>
  </si>
  <si>
    <t>WITH NRA ADJUSTMENT</t>
  </si>
  <si>
    <t>Calculation</t>
  </si>
  <si>
    <t>Reported savings = Model prediction − Actual + NRA adjustment</t>
  </si>
  <si>
    <t>Adjusted annual savings</t>
  </si>
  <si>
    <t>See Savings Calc tab with NRA applied</t>
  </si>
  <si>
    <t>Contractual result</t>
  </si>
  <si>
    <t>Savings verified; NRA documented and agreed by all parties</t>
  </si>
  <si>
    <t>IPMVP REFERENCE</t>
  </si>
  <si>
    <t>Protocol</t>
  </si>
  <si>
    <t>IPMVP Section 4.2 — Non-Routine Adjustments</t>
  </si>
  <si>
    <t>Requirement</t>
  </si>
  <si>
    <t>NRAs must be agreed in advance in the M&amp;V Plan or negotiated promptly</t>
  </si>
  <si>
    <t>Documentation</t>
  </si>
  <si>
    <t>NRA event, date, magnitude, evidence, and calculation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</si>
</sst>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\$#,##0"/>
  </numFmts>
  <fonts count="14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i/>
      <sz val="9"/>
      <color rgb="FF666666"/>
      <name val="Arial"/>
      <family val="2"/>
    </font>
    <font>
      <b/>
      <sz val="9"/>
      <color rgb="FF990000"/>
      <name val="Arial"/>
      <family val="2"/>
    </font>
    <font>
      <i/>
      <sz val="9"/>
      <color rgb="FF990000"/>
      <name val="Arial"/>
      <family val="2"/>
    </font>
    <font>
      <b/>
      <sz val="10"/>
      <color rgb="FF990000"/>
      <name val="Arial"/>
      <family val="2"/>
    </font>
    <font>
      <sz val="10"/>
      <color rgb="FF003399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0F0F0"/>
        <bgColor rgb="FFF8F8F8"/>
      </patternFill>
    </fill>
    <fill>
      <patternFill patternType="solid">
        <fgColor rgb="FF2B2B2B"/>
        <bgColor rgb="FF333300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CCCCCC"/>
        <bgColor rgb="FFCCCCFF"/>
      </patternFill>
    </fill>
    <fill>
      <patternFill patternType="solid">
        <fgColor rgb="FFFFE0E0"/>
        <bgColor rgb="FFF0F0F0"/>
      </patternFill>
    </fill>
    <fill>
      <patternFill patternType="solid">
        <fgColor rgb="FF555555"/>
        <bgColor rgb="FF666666"/>
      </patternFill>
    </fill>
    <fill>
      <patternFill patternType="solid">
        <fgColor rgb="FFFFF9E6"/>
        <bgColor rgb="FFF8F8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5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3" fillId="3" borderId="0" xfId="0" applyFont="1" applyFill="1"/>
    <xf numFmtId="0" fontId="13" fillId="8" borderId="0" xfId="0" applyFont="1" applyFill="1"/>
    <xf numFmtId="0" fontId="5" fillId="0" borderId="0" xfId="0" applyFont="1"/>
    <xf numFmtId="0" fontId="10" fillId="7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9" fillId="0" borderId="0" xfId="0" applyFont="1"/>
    <xf numFmtId="0" fontId="7" fillId="0" borderId="0" xfId="0" applyFont="1"/>
    <xf numFmtId="0" fontId="6" fillId="0" borderId="0" xfId="0" applyFont="1"/>
    <xf numFmtId="0" fontId="4" fillId="5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/>
    </xf>
    <xf numFmtId="3" fontId="11" fillId="9" borderId="1" xfId="0" applyNumberFormat="1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 vertical="center"/>
    </xf>
    <xf numFmtId="1" fontId="11" fillId="9" borderId="1" xfId="0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left" vertical="center"/>
    </xf>
    <xf numFmtId="3" fontId="12" fillId="7" borderId="1" xfId="0" applyNumberFormat="1" applyFont="1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/>
    </xf>
    <xf numFmtId="3" fontId="12" fillId="5" borderId="1" xfId="0" applyNumberFormat="1" applyFont="1" applyFill="1" applyBorder="1" applyAlignment="1">
      <alignment horizontal="center"/>
    </xf>
    <xf numFmtId="165" fontId="12" fillId="5" borderId="1" xfId="0" applyNumberFormat="1" applyFont="1" applyFill="1" applyBorder="1" applyAlignment="1">
      <alignment horizontal="center"/>
    </xf>
    <xf numFmtId="166" fontId="12" fillId="5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3" fontId="12" fillId="4" borderId="1" xfId="0" applyNumberFormat="1" applyFont="1" applyFill="1" applyBorder="1" applyAlignment="1">
      <alignment horizontal="center"/>
    </xf>
    <xf numFmtId="165" fontId="12" fillId="4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6" fontId="5" fillId="6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99"/>
      <rgbColor rgb="FF339966"/>
      <rgbColor rgb="FF003300"/>
      <rgbColor rgb="FF333300"/>
      <rgbColor rgb="FF993300"/>
      <rgbColor rgb="FF993366"/>
      <rgbColor rgb="FF555555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6" customWidth="1"/>
    <col min="2" max="2" width="22" customWidth="1"/>
    <col min="3" max="3" width="55" customWidth="1"/>
    <col min="4" max="4" width="12" customWidth="1"/>
  </cols>
  <sheetData>
    <row r="1" spans="1:12" ht="27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9.75" customHeight="1" x14ac:dyDescent="0.2"/>
    <row r="4" spans="1:12" x14ac:dyDescent="0.2">
      <c r="A4" s="15" t="s">
        <v>2</v>
      </c>
      <c r="B4" s="15" t="s">
        <v>3</v>
      </c>
      <c r="C4" s="15" t="s">
        <v>4</v>
      </c>
      <c r="D4" s="15" t="s">
        <v>5</v>
      </c>
    </row>
    <row r="5" spans="1:12" x14ac:dyDescent="0.2">
      <c r="A5" s="16" t="s">
        <v>6</v>
      </c>
      <c r="B5" s="17" t="s">
        <v>7</v>
      </c>
      <c r="C5" s="17" t="s">
        <v>8</v>
      </c>
      <c r="D5" s="16" t="s">
        <v>9</v>
      </c>
    </row>
    <row r="6" spans="1:12" x14ac:dyDescent="0.2">
      <c r="A6" s="18" t="s">
        <v>10</v>
      </c>
      <c r="B6" s="19" t="s">
        <v>11</v>
      </c>
      <c r="C6" s="19" t="s">
        <v>12</v>
      </c>
      <c r="D6" s="18" t="s">
        <v>13</v>
      </c>
    </row>
    <row r="7" spans="1:12" x14ac:dyDescent="0.2">
      <c r="A7" s="16" t="s">
        <v>14</v>
      </c>
      <c r="B7" s="17" t="s">
        <v>15</v>
      </c>
      <c r="C7" s="17" t="s">
        <v>16</v>
      </c>
      <c r="D7" s="16" t="s">
        <v>17</v>
      </c>
    </row>
    <row r="8" spans="1:12" x14ac:dyDescent="0.2">
      <c r="A8" s="18" t="s">
        <v>18</v>
      </c>
      <c r="B8" s="19" t="s">
        <v>19</v>
      </c>
      <c r="C8" s="19" t="s">
        <v>20</v>
      </c>
      <c r="D8" s="18" t="s">
        <v>21</v>
      </c>
    </row>
    <row r="9" spans="1:12" x14ac:dyDescent="0.2">
      <c r="A9" s="16" t="s">
        <v>22</v>
      </c>
      <c r="B9" s="17" t="s">
        <v>23</v>
      </c>
      <c r="C9" s="17" t="s">
        <v>24</v>
      </c>
      <c r="D9" s="16" t="s">
        <v>25</v>
      </c>
    </row>
    <row r="10" spans="1:12" x14ac:dyDescent="0.2">
      <c r="A10" s="18" t="s">
        <v>26</v>
      </c>
      <c r="B10" s="19" t="s">
        <v>27</v>
      </c>
      <c r="C10" s="19" t="s">
        <v>28</v>
      </c>
      <c r="D10" s="18" t="s">
        <v>25</v>
      </c>
    </row>
    <row r="11" spans="1:12" x14ac:dyDescent="0.2">
      <c r="A11" s="16" t="s">
        <v>29</v>
      </c>
      <c r="B11" s="17" t="s">
        <v>30</v>
      </c>
      <c r="C11" s="17" t="s">
        <v>31</v>
      </c>
      <c r="D11" s="16" t="s">
        <v>25</v>
      </c>
    </row>
    <row r="12" spans="1:12" x14ac:dyDescent="0.2">
      <c r="A12" s="18" t="s">
        <v>32</v>
      </c>
      <c r="B12" s="19" t="s">
        <v>33</v>
      </c>
      <c r="C12" s="19" t="s">
        <v>34</v>
      </c>
      <c r="D12" s="18" t="s">
        <v>25</v>
      </c>
    </row>
    <row r="13" spans="1:12" x14ac:dyDescent="0.2">
      <c r="A13" s="16" t="s">
        <v>35</v>
      </c>
      <c r="B13" s="17" t="s">
        <v>36</v>
      </c>
      <c r="C13" s="17" t="s">
        <v>37</v>
      </c>
      <c r="D13" s="16" t="s">
        <v>25</v>
      </c>
    </row>
    <row r="14" spans="1:12" x14ac:dyDescent="0.2">
      <c r="A14" s="18" t="s">
        <v>38</v>
      </c>
      <c r="B14" s="19" t="s">
        <v>39</v>
      </c>
      <c r="C14" s="19" t="s">
        <v>40</v>
      </c>
      <c r="D14" s="18" t="s">
        <v>41</v>
      </c>
    </row>
    <row r="15" spans="1:12" x14ac:dyDescent="0.2">
      <c r="A15" s="16" t="s">
        <v>42</v>
      </c>
      <c r="B15" s="17" t="s">
        <v>43</v>
      </c>
      <c r="C15" s="17" t="s">
        <v>44</v>
      </c>
      <c r="D15" s="16" t="s">
        <v>21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8" customWidth="1"/>
    <col min="2" max="2" width="38" customWidth="1"/>
    <col min="3" max="3" width="18" customWidth="1"/>
    <col min="4" max="4" width="16" customWidth="1"/>
    <col min="5" max="5" width="22" customWidth="1"/>
    <col min="6" max="6" width="20" customWidth="1"/>
    <col min="7" max="7" width="14" customWidth="1"/>
  </cols>
  <sheetData>
    <row r="1" spans="1:12" ht="27.75" customHeight="1" x14ac:dyDescent="0.2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spans="1:12" x14ac:dyDescent="0.2">
      <c r="A5" s="20" t="s">
        <v>47</v>
      </c>
      <c r="B5" s="12"/>
      <c r="C5" s="12"/>
      <c r="D5" s="12"/>
      <c r="E5" s="12"/>
    </row>
    <row r="6" spans="1:12" x14ac:dyDescent="0.2">
      <c r="A6" s="21" t="s">
        <v>48</v>
      </c>
      <c r="B6" s="11" t="s">
        <v>49</v>
      </c>
      <c r="C6" s="11"/>
      <c r="D6" s="11"/>
      <c r="E6" s="11"/>
    </row>
    <row r="7" spans="1:12" x14ac:dyDescent="0.2">
      <c r="A7" s="21" t="s">
        <v>50</v>
      </c>
      <c r="B7" s="11" t="s">
        <v>51</v>
      </c>
      <c r="C7" s="11"/>
      <c r="D7" s="11"/>
      <c r="E7" s="11"/>
    </row>
    <row r="8" spans="1:12" x14ac:dyDescent="0.2">
      <c r="A8" s="21" t="s">
        <v>52</v>
      </c>
      <c r="B8" s="11" t="s">
        <v>53</v>
      </c>
      <c r="C8" s="11"/>
      <c r="D8" s="11"/>
      <c r="E8" s="11"/>
    </row>
    <row r="9" spans="1:12" x14ac:dyDescent="0.2">
      <c r="A9" s="21" t="s">
        <v>54</v>
      </c>
      <c r="B9" s="11" t="s">
        <v>55</v>
      </c>
      <c r="C9" s="11"/>
      <c r="D9" s="11"/>
      <c r="E9" s="11"/>
    </row>
    <row r="10" spans="1:12" x14ac:dyDescent="0.2">
      <c r="A10" s="21" t="s">
        <v>56</v>
      </c>
      <c r="B10" s="11" t="s">
        <v>57</v>
      </c>
      <c r="C10" s="11"/>
      <c r="D10" s="11"/>
      <c r="E10" s="11"/>
    </row>
    <row r="11" spans="1:12" x14ac:dyDescent="0.2">
      <c r="A11" s="21"/>
      <c r="B11" s="11"/>
      <c r="C11" s="11"/>
      <c r="D11" s="11"/>
      <c r="E11" s="11"/>
    </row>
    <row r="12" spans="1:12" x14ac:dyDescent="0.2">
      <c r="A12" s="20" t="s">
        <v>58</v>
      </c>
      <c r="B12" s="12"/>
      <c r="C12" s="12"/>
      <c r="D12" s="12"/>
      <c r="E12" s="12"/>
    </row>
    <row r="13" spans="1:12" x14ac:dyDescent="0.2">
      <c r="A13" s="21" t="s">
        <v>59</v>
      </c>
      <c r="B13" s="11" t="s">
        <v>60</v>
      </c>
      <c r="C13" s="11"/>
      <c r="D13" s="11"/>
      <c r="E13" s="11"/>
    </row>
    <row r="14" spans="1:12" x14ac:dyDescent="0.2">
      <c r="A14" s="21" t="s">
        <v>61</v>
      </c>
      <c r="B14" s="11" t="s">
        <v>62</v>
      </c>
      <c r="C14" s="11"/>
      <c r="D14" s="11"/>
      <c r="E14" s="11"/>
    </row>
    <row r="15" spans="1:12" x14ac:dyDescent="0.2">
      <c r="A15" s="21" t="s">
        <v>63</v>
      </c>
      <c r="B15" s="11" t="s">
        <v>64</v>
      </c>
      <c r="C15" s="11"/>
      <c r="D15" s="11"/>
      <c r="E15" s="11"/>
    </row>
    <row r="16" spans="1:12" x14ac:dyDescent="0.2">
      <c r="A16" s="21" t="s">
        <v>65</v>
      </c>
      <c r="B16" s="11" t="s">
        <v>66</v>
      </c>
      <c r="C16" s="11"/>
      <c r="D16" s="11"/>
      <c r="E16" s="11"/>
    </row>
    <row r="17" spans="1:7" x14ac:dyDescent="0.2">
      <c r="A17" s="21"/>
      <c r="B17" s="11"/>
      <c r="C17" s="11"/>
      <c r="D17" s="11"/>
      <c r="E17" s="11"/>
    </row>
    <row r="18" spans="1:7" x14ac:dyDescent="0.2">
      <c r="A18" s="20" t="s">
        <v>67</v>
      </c>
      <c r="B18" s="12"/>
      <c r="C18" s="12"/>
      <c r="D18" s="12"/>
      <c r="E18" s="12"/>
    </row>
    <row r="19" spans="1:7" x14ac:dyDescent="0.2">
      <c r="A19" s="21" t="s">
        <v>68</v>
      </c>
      <c r="B19" s="11" t="s">
        <v>69</v>
      </c>
      <c r="C19" s="11"/>
      <c r="D19" s="11"/>
      <c r="E19" s="11"/>
    </row>
    <row r="20" spans="1:7" x14ac:dyDescent="0.2">
      <c r="A20" s="21" t="s">
        <v>70</v>
      </c>
      <c r="B20" s="11" t="s">
        <v>71</v>
      </c>
      <c r="C20" s="11"/>
      <c r="D20" s="11"/>
      <c r="E20" s="11"/>
    </row>
    <row r="21" spans="1:7" x14ac:dyDescent="0.2">
      <c r="A21" s="21"/>
      <c r="B21" s="11"/>
      <c r="C21" s="11"/>
      <c r="D21" s="11"/>
      <c r="E21" s="11"/>
    </row>
    <row r="22" spans="1:7" x14ac:dyDescent="0.2">
      <c r="A22" s="20" t="s">
        <v>72</v>
      </c>
      <c r="B22" s="12"/>
      <c r="C22" s="12"/>
      <c r="D22" s="12"/>
      <c r="E22" s="12"/>
    </row>
    <row r="23" spans="1:7" x14ac:dyDescent="0.2">
      <c r="A23" s="21" t="s">
        <v>68</v>
      </c>
      <c r="B23" s="11" t="s">
        <v>73</v>
      </c>
      <c r="C23" s="11"/>
      <c r="D23" s="11"/>
      <c r="E23" s="11"/>
    </row>
    <row r="24" spans="1:7" x14ac:dyDescent="0.2">
      <c r="A24" s="21" t="s">
        <v>70</v>
      </c>
      <c r="B24" s="11" t="s">
        <v>74</v>
      </c>
      <c r="C24" s="11"/>
      <c r="D24" s="11"/>
      <c r="E24" s="11"/>
    </row>
    <row r="26" spans="1:7" x14ac:dyDescent="0.2">
      <c r="A26" s="10" t="s">
        <v>75</v>
      </c>
      <c r="B26" s="10"/>
      <c r="C26" s="10"/>
      <c r="D26" s="10"/>
      <c r="E26" s="10"/>
      <c r="F26" s="10"/>
      <c r="G26" s="10"/>
    </row>
    <row r="27" spans="1:7" ht="42" x14ac:dyDescent="0.2">
      <c r="A27" s="15" t="s">
        <v>76</v>
      </c>
      <c r="B27" s="15" t="s">
        <v>77</v>
      </c>
      <c r="C27" s="15" t="s">
        <v>78</v>
      </c>
      <c r="D27" s="15" t="s">
        <v>79</v>
      </c>
      <c r="E27" s="15" t="s">
        <v>80</v>
      </c>
      <c r="F27" s="15" t="s">
        <v>81</v>
      </c>
      <c r="G27" s="15" t="s">
        <v>82</v>
      </c>
    </row>
    <row r="28" spans="1:7" ht="36" customHeight="1" x14ac:dyDescent="0.2">
      <c r="A28" s="22" t="s">
        <v>83</v>
      </c>
      <c r="B28" s="22" t="s">
        <v>84</v>
      </c>
      <c r="C28" s="23" t="s">
        <v>85</v>
      </c>
      <c r="D28" s="23" t="s">
        <v>9</v>
      </c>
      <c r="E28" s="22" t="s">
        <v>86</v>
      </c>
      <c r="F28" s="23" t="s">
        <v>87</v>
      </c>
      <c r="G28" s="23" t="s">
        <v>88</v>
      </c>
    </row>
    <row r="29" spans="1:7" ht="36" customHeight="1" x14ac:dyDescent="0.2">
      <c r="A29" s="24" t="s">
        <v>89</v>
      </c>
      <c r="B29" s="24" t="s">
        <v>90</v>
      </c>
      <c r="C29" s="25" t="s">
        <v>91</v>
      </c>
      <c r="D29" s="25" t="s">
        <v>9</v>
      </c>
      <c r="E29" s="24" t="s">
        <v>92</v>
      </c>
      <c r="F29" s="25" t="s">
        <v>93</v>
      </c>
      <c r="G29" s="25" t="s">
        <v>94</v>
      </c>
    </row>
    <row r="30" spans="1:7" ht="36" customHeight="1" x14ac:dyDescent="0.2">
      <c r="A30" s="22" t="s">
        <v>95</v>
      </c>
      <c r="B30" s="22" t="s">
        <v>96</v>
      </c>
      <c r="C30" s="23" t="s">
        <v>97</v>
      </c>
      <c r="D30" s="23" t="s">
        <v>98</v>
      </c>
      <c r="E30" s="22" t="s">
        <v>99</v>
      </c>
      <c r="F30" s="23" t="s">
        <v>100</v>
      </c>
      <c r="G30" s="23" t="s">
        <v>101</v>
      </c>
    </row>
    <row r="31" spans="1:7" ht="36" customHeight="1" x14ac:dyDescent="0.2">
      <c r="A31" s="24" t="s">
        <v>102</v>
      </c>
      <c r="B31" s="24" t="s">
        <v>103</v>
      </c>
      <c r="C31" s="25" t="s">
        <v>104</v>
      </c>
      <c r="D31" s="25" t="s">
        <v>9</v>
      </c>
      <c r="E31" s="24" t="s">
        <v>86</v>
      </c>
      <c r="F31" s="25" t="s">
        <v>105</v>
      </c>
      <c r="G31" s="25" t="s">
        <v>88</v>
      </c>
    </row>
  </sheetData>
  <mergeCells count="23">
    <mergeCell ref="B23:E23"/>
    <mergeCell ref="B24:E24"/>
    <mergeCell ref="A26:G26"/>
    <mergeCell ref="B18:E18"/>
    <mergeCell ref="B19:E19"/>
    <mergeCell ref="B20:E20"/>
    <mergeCell ref="B21:E21"/>
    <mergeCell ref="B22:E22"/>
    <mergeCell ref="B13:E13"/>
    <mergeCell ref="B14:E14"/>
    <mergeCell ref="B15:E15"/>
    <mergeCell ref="B16:E16"/>
    <mergeCell ref="B17:E17"/>
    <mergeCell ref="B8:E8"/>
    <mergeCell ref="B9:E9"/>
    <mergeCell ref="B10:E10"/>
    <mergeCell ref="B11:E11"/>
    <mergeCell ref="B12:E12"/>
    <mergeCell ref="A1:L1"/>
    <mergeCell ref="A2:L2"/>
    <mergeCell ref="B5:E5"/>
    <mergeCell ref="B6:E6"/>
    <mergeCell ref="B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8" customWidth="1"/>
    <col min="2" max="2" width="7" customWidth="1"/>
    <col min="3" max="3" width="10" customWidth="1"/>
    <col min="4" max="4" width="12" customWidth="1"/>
    <col min="5" max="5" width="10" customWidth="1"/>
    <col min="6" max="6" width="11" customWidth="1"/>
    <col min="7" max="9" width="10" customWidth="1"/>
    <col min="10" max="10" width="14" customWidth="1"/>
    <col min="11" max="11" width="12" customWidth="1"/>
    <col min="12" max="12" width="10" customWidth="1"/>
  </cols>
  <sheetData>
    <row r="1" spans="1:12" ht="27.75" customHeight="1" x14ac:dyDescent="0.2">
      <c r="A1" s="14" t="s">
        <v>106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107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36" customHeight="1" x14ac:dyDescent="0.2">
      <c r="A4" s="15" t="s">
        <v>108</v>
      </c>
      <c r="B4" s="15" t="s">
        <v>109</v>
      </c>
      <c r="C4" s="15" t="s">
        <v>110</v>
      </c>
      <c r="D4" s="15" t="s">
        <v>111</v>
      </c>
      <c r="E4" s="15" t="s">
        <v>112</v>
      </c>
      <c r="F4" s="15" t="s">
        <v>113</v>
      </c>
      <c r="G4" s="15" t="s">
        <v>114</v>
      </c>
      <c r="H4" s="15" t="s">
        <v>115</v>
      </c>
      <c r="I4" s="15" t="s">
        <v>116</v>
      </c>
      <c r="J4" s="15" t="s">
        <v>117</v>
      </c>
      <c r="K4" s="15" t="s">
        <v>118</v>
      </c>
      <c r="L4" s="15" t="s">
        <v>119</v>
      </c>
    </row>
    <row r="5" spans="1:12" x14ac:dyDescent="0.2">
      <c r="A5" s="18" t="s">
        <v>120</v>
      </c>
      <c r="B5" s="18">
        <v>31</v>
      </c>
      <c r="C5" s="26">
        <v>33</v>
      </c>
      <c r="D5" s="26">
        <v>108662</v>
      </c>
      <c r="E5" s="26">
        <v>1139</v>
      </c>
      <c r="F5" s="26">
        <v>14904</v>
      </c>
      <c r="G5" s="26">
        <v>10061</v>
      </c>
      <c r="H5" s="26">
        <v>11002</v>
      </c>
      <c r="I5" s="26">
        <v>14140</v>
      </c>
      <c r="J5" s="26">
        <v>37274</v>
      </c>
      <c r="K5" s="26">
        <v>889</v>
      </c>
      <c r="L5" s="26">
        <v>250</v>
      </c>
    </row>
    <row r="6" spans="1:12" x14ac:dyDescent="0.2">
      <c r="A6" s="16" t="s">
        <v>121</v>
      </c>
      <c r="B6" s="16">
        <v>28</v>
      </c>
      <c r="C6" s="27">
        <v>34.9</v>
      </c>
      <c r="D6" s="27">
        <v>93429</v>
      </c>
      <c r="E6" s="27">
        <v>779</v>
      </c>
      <c r="F6" s="27">
        <v>13225</v>
      </c>
      <c r="G6" s="27">
        <v>9114</v>
      </c>
      <c r="H6" s="27">
        <v>9442</v>
      </c>
      <c r="I6" s="27">
        <v>12598</v>
      </c>
      <c r="J6" s="27">
        <v>33667</v>
      </c>
      <c r="K6" s="27">
        <v>545</v>
      </c>
      <c r="L6" s="27">
        <v>234</v>
      </c>
    </row>
    <row r="7" spans="1:12" x14ac:dyDescent="0.2">
      <c r="A7" s="18" t="s">
        <v>122</v>
      </c>
      <c r="B7" s="18">
        <v>31</v>
      </c>
      <c r="C7" s="26">
        <v>45.9</v>
      </c>
      <c r="D7" s="26">
        <v>93584</v>
      </c>
      <c r="E7" s="26">
        <v>482</v>
      </c>
      <c r="F7" s="26">
        <v>14293</v>
      </c>
      <c r="G7" s="26">
        <v>11136</v>
      </c>
      <c r="H7" s="26">
        <v>9997</v>
      </c>
      <c r="I7" s="26">
        <v>13692</v>
      </c>
      <c r="J7" s="26">
        <v>37274</v>
      </c>
      <c r="K7" s="26">
        <v>338</v>
      </c>
      <c r="L7" s="26">
        <v>145</v>
      </c>
    </row>
    <row r="8" spans="1:12" x14ac:dyDescent="0.2">
      <c r="A8" s="16" t="s">
        <v>123</v>
      </c>
      <c r="B8" s="16">
        <v>30</v>
      </c>
      <c r="C8" s="27">
        <v>54.4</v>
      </c>
      <c r="D8" s="27">
        <v>89039</v>
      </c>
      <c r="E8" s="27">
        <v>343</v>
      </c>
      <c r="F8" s="27">
        <v>14345</v>
      </c>
      <c r="G8" s="27">
        <v>12492</v>
      </c>
      <c r="H8" s="27">
        <v>9829</v>
      </c>
      <c r="I8" s="27">
        <v>13626</v>
      </c>
      <c r="J8" s="27">
        <v>36072</v>
      </c>
      <c r="K8" s="27">
        <v>240</v>
      </c>
      <c r="L8" s="27">
        <v>103</v>
      </c>
    </row>
    <row r="9" spans="1:12" x14ac:dyDescent="0.2">
      <c r="A9" s="18" t="s">
        <v>124</v>
      </c>
      <c r="B9" s="18">
        <v>31</v>
      </c>
      <c r="C9" s="26">
        <v>64.7</v>
      </c>
      <c r="D9" s="26">
        <v>95784</v>
      </c>
      <c r="E9" s="26">
        <v>270</v>
      </c>
      <c r="F9" s="26">
        <v>14904</v>
      </c>
      <c r="G9" s="26">
        <v>18641</v>
      </c>
      <c r="H9" s="26">
        <v>10233</v>
      </c>
      <c r="I9" s="26">
        <v>14140</v>
      </c>
      <c r="J9" s="26">
        <v>37274</v>
      </c>
      <c r="K9" s="26">
        <v>54</v>
      </c>
      <c r="L9" s="26">
        <v>216</v>
      </c>
    </row>
    <row r="10" spans="1:12" x14ac:dyDescent="0.2">
      <c r="A10" s="16" t="s">
        <v>125</v>
      </c>
      <c r="B10" s="16">
        <v>30</v>
      </c>
      <c r="C10" s="27">
        <v>72.5</v>
      </c>
      <c r="D10" s="27">
        <v>95115</v>
      </c>
      <c r="E10" s="27">
        <v>223</v>
      </c>
      <c r="F10" s="27">
        <v>13734</v>
      </c>
      <c r="G10" s="27">
        <v>22395</v>
      </c>
      <c r="H10" s="27">
        <v>9676</v>
      </c>
      <c r="I10" s="27">
        <v>13178</v>
      </c>
      <c r="J10" s="27">
        <v>36072</v>
      </c>
      <c r="K10" s="27">
        <v>45</v>
      </c>
      <c r="L10" s="27">
        <v>179</v>
      </c>
    </row>
    <row r="11" spans="1:12" x14ac:dyDescent="0.2">
      <c r="A11" s="18" t="s">
        <v>126</v>
      </c>
      <c r="B11" s="18">
        <v>31</v>
      </c>
      <c r="C11" s="26">
        <v>76.099999999999994</v>
      </c>
      <c r="D11" s="26">
        <v>104702</v>
      </c>
      <c r="E11" s="26">
        <v>237</v>
      </c>
      <c r="F11" s="26">
        <v>14904</v>
      </c>
      <c r="G11" s="26">
        <v>28107</v>
      </c>
      <c r="H11" s="26">
        <v>10270</v>
      </c>
      <c r="I11" s="26">
        <v>14140</v>
      </c>
      <c r="J11" s="26">
        <v>37274</v>
      </c>
      <c r="K11" s="26">
        <v>47</v>
      </c>
      <c r="L11" s="26">
        <v>190</v>
      </c>
    </row>
    <row r="12" spans="1:12" x14ac:dyDescent="0.2">
      <c r="A12" s="16" t="s">
        <v>127</v>
      </c>
      <c r="B12" s="16">
        <v>31</v>
      </c>
      <c r="C12" s="27">
        <v>73.400000000000006</v>
      </c>
      <c r="D12" s="27">
        <v>100216</v>
      </c>
      <c r="E12" s="27">
        <v>237</v>
      </c>
      <c r="F12" s="27">
        <v>14682</v>
      </c>
      <c r="G12" s="27">
        <v>24007</v>
      </c>
      <c r="H12" s="27">
        <v>10242</v>
      </c>
      <c r="I12" s="27">
        <v>13970</v>
      </c>
      <c r="J12" s="27">
        <v>37274</v>
      </c>
      <c r="K12" s="27">
        <v>47</v>
      </c>
      <c r="L12" s="27">
        <v>189</v>
      </c>
    </row>
    <row r="13" spans="1:12" x14ac:dyDescent="0.2">
      <c r="A13" s="18" t="s">
        <v>128</v>
      </c>
      <c r="B13" s="18">
        <v>30</v>
      </c>
      <c r="C13" s="26">
        <v>68.2</v>
      </c>
      <c r="D13" s="26">
        <v>92868</v>
      </c>
      <c r="E13" s="26">
        <v>236</v>
      </c>
      <c r="F13" s="26">
        <v>13956</v>
      </c>
      <c r="G13" s="26">
        <v>19542</v>
      </c>
      <c r="H13" s="26">
        <v>9693</v>
      </c>
      <c r="I13" s="26">
        <v>13347</v>
      </c>
      <c r="J13" s="26">
        <v>36072</v>
      </c>
      <c r="K13" s="26">
        <v>47</v>
      </c>
      <c r="L13" s="26">
        <v>189</v>
      </c>
    </row>
    <row r="14" spans="1:12" x14ac:dyDescent="0.2">
      <c r="A14" s="16" t="s">
        <v>129</v>
      </c>
      <c r="B14" s="16">
        <v>31</v>
      </c>
      <c r="C14" s="27">
        <v>53.5</v>
      </c>
      <c r="D14" s="27">
        <v>92756</v>
      </c>
      <c r="E14" s="27">
        <v>366</v>
      </c>
      <c r="F14" s="27">
        <v>14904</v>
      </c>
      <c r="G14" s="27">
        <v>13037</v>
      </c>
      <c r="H14" s="27">
        <v>10174</v>
      </c>
      <c r="I14" s="27">
        <v>14140</v>
      </c>
      <c r="J14" s="27">
        <v>37274</v>
      </c>
      <c r="K14" s="27">
        <v>256</v>
      </c>
      <c r="L14" s="27">
        <v>110</v>
      </c>
    </row>
    <row r="15" spans="1:12" x14ac:dyDescent="0.2">
      <c r="A15" s="18" t="s">
        <v>130</v>
      </c>
      <c r="B15" s="18">
        <v>30</v>
      </c>
      <c r="C15" s="26">
        <v>46.1</v>
      </c>
      <c r="D15" s="26">
        <v>90863</v>
      </c>
      <c r="E15" s="26">
        <v>488</v>
      </c>
      <c r="F15" s="26">
        <v>14123</v>
      </c>
      <c r="G15" s="26">
        <v>10245</v>
      </c>
      <c r="H15" s="26">
        <v>9838</v>
      </c>
      <c r="I15" s="26">
        <v>13456</v>
      </c>
      <c r="J15" s="26">
        <v>36072</v>
      </c>
      <c r="K15" s="26">
        <v>342</v>
      </c>
      <c r="L15" s="26">
        <v>146</v>
      </c>
    </row>
    <row r="16" spans="1:12" x14ac:dyDescent="0.2">
      <c r="A16" s="16" t="s">
        <v>131</v>
      </c>
      <c r="B16" s="16">
        <v>31</v>
      </c>
      <c r="C16" s="27">
        <v>33.799999999999997</v>
      </c>
      <c r="D16" s="27">
        <v>105610</v>
      </c>
      <c r="E16" s="27">
        <v>1001</v>
      </c>
      <c r="F16" s="27">
        <v>14515</v>
      </c>
      <c r="G16" s="27">
        <v>9915</v>
      </c>
      <c r="H16" s="27">
        <v>10581</v>
      </c>
      <c r="I16" s="27">
        <v>13861</v>
      </c>
      <c r="J16" s="27">
        <v>37274</v>
      </c>
      <c r="K16" s="27">
        <v>751</v>
      </c>
      <c r="L16" s="27">
        <v>250</v>
      </c>
    </row>
    <row r="17" spans="1:12" x14ac:dyDescent="0.2">
      <c r="A17" s="28" t="s">
        <v>132</v>
      </c>
      <c r="B17" s="28">
        <f>SUM(B5:B16)</f>
        <v>365</v>
      </c>
      <c r="C17" s="28">
        <f>AVERAGE(C5:C16)</f>
        <v>54.708333333333336</v>
      </c>
      <c r="D17" s="28">
        <f t="shared" ref="D17:L17" si="0">SUM(D5:D16)</f>
        <v>1162628</v>
      </c>
      <c r="E17" s="28">
        <f t="shared" si="0"/>
        <v>5801</v>
      </c>
      <c r="F17" s="28">
        <f t="shared" si="0"/>
        <v>172489</v>
      </c>
      <c r="G17" s="28">
        <f t="shared" si="0"/>
        <v>188692</v>
      </c>
      <c r="H17" s="28">
        <f t="shared" si="0"/>
        <v>120977</v>
      </c>
      <c r="I17" s="28">
        <f t="shared" si="0"/>
        <v>164288</v>
      </c>
      <c r="J17" s="28">
        <f t="shared" si="0"/>
        <v>438873</v>
      </c>
      <c r="K17" s="28">
        <f t="shared" si="0"/>
        <v>3601</v>
      </c>
      <c r="L17" s="28">
        <f t="shared" si="0"/>
        <v>2201</v>
      </c>
    </row>
    <row r="19" spans="1:12" ht="30" customHeight="1" x14ac:dyDescent="0.2">
      <c r="A19" s="9" t="s">
        <v>133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</sheetData>
  <mergeCells count="3">
    <mergeCell ref="A1:L1"/>
    <mergeCell ref="A2:L2"/>
    <mergeCell ref="A19:L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8" customWidth="1"/>
    <col min="2" max="2" width="7" customWidth="1"/>
    <col min="3" max="3" width="10" customWidth="1"/>
    <col min="4" max="4" width="12" customWidth="1"/>
    <col min="5" max="5" width="10" customWidth="1"/>
    <col min="6" max="6" width="11" customWidth="1"/>
    <col min="7" max="9" width="10" customWidth="1"/>
    <col min="10" max="10" width="14" customWidth="1"/>
    <col min="11" max="11" width="12" customWidth="1"/>
    <col min="12" max="12" width="10" customWidth="1"/>
  </cols>
  <sheetData>
    <row r="1" spans="1:13" ht="27.75" customHeight="1" x14ac:dyDescent="0.2">
      <c r="A1" s="14" t="s">
        <v>134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x14ac:dyDescent="0.2">
      <c r="A2" s="13" t="s">
        <v>135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3" ht="36" customHeight="1" x14ac:dyDescent="0.2">
      <c r="A4" s="15" t="s">
        <v>108</v>
      </c>
      <c r="B4" s="15" t="s">
        <v>109</v>
      </c>
      <c r="C4" s="15" t="s">
        <v>110</v>
      </c>
      <c r="D4" s="15" t="s">
        <v>111</v>
      </c>
      <c r="E4" s="15" t="s">
        <v>112</v>
      </c>
      <c r="F4" s="15" t="s">
        <v>113</v>
      </c>
      <c r="G4" s="15" t="s">
        <v>114</v>
      </c>
      <c r="H4" s="15" t="s">
        <v>115</v>
      </c>
      <c r="I4" s="15" t="s">
        <v>116</v>
      </c>
      <c r="J4" s="15" t="s">
        <v>117</v>
      </c>
      <c r="K4" s="15" t="s">
        <v>118</v>
      </c>
      <c r="L4" s="15" t="s">
        <v>119</v>
      </c>
    </row>
    <row r="5" spans="1:13" x14ac:dyDescent="0.2">
      <c r="A5" s="18" t="s">
        <v>120</v>
      </c>
      <c r="B5" s="18">
        <v>31</v>
      </c>
      <c r="C5" s="26">
        <v>33</v>
      </c>
      <c r="D5" s="26">
        <v>100821</v>
      </c>
      <c r="E5" s="26">
        <v>1161</v>
      </c>
      <c r="F5" s="26">
        <v>9664</v>
      </c>
      <c r="G5" s="26">
        <v>9957</v>
      </c>
      <c r="H5" s="26">
        <v>7257</v>
      </c>
      <c r="I5" s="26">
        <v>14140</v>
      </c>
      <c r="J5" s="26">
        <v>37274</v>
      </c>
      <c r="K5" s="26">
        <v>911</v>
      </c>
      <c r="L5" s="26">
        <v>250</v>
      </c>
    </row>
    <row r="6" spans="1:13" x14ac:dyDescent="0.2">
      <c r="A6" s="16" t="s">
        <v>121</v>
      </c>
      <c r="B6" s="16">
        <v>28</v>
      </c>
      <c r="C6" s="27">
        <v>34.9</v>
      </c>
      <c r="D6" s="27">
        <v>86657</v>
      </c>
      <c r="E6" s="27">
        <v>857</v>
      </c>
      <c r="F6" s="27">
        <v>8593</v>
      </c>
      <c r="G6" s="27">
        <v>9007</v>
      </c>
      <c r="H6" s="27">
        <v>6406</v>
      </c>
      <c r="I6" s="27">
        <v>12598</v>
      </c>
      <c r="J6" s="27">
        <v>33667</v>
      </c>
      <c r="K6" s="27">
        <v>607</v>
      </c>
      <c r="L6" s="27">
        <v>250</v>
      </c>
    </row>
    <row r="7" spans="1:13" x14ac:dyDescent="0.2">
      <c r="A7" s="18" t="s">
        <v>122</v>
      </c>
      <c r="B7" s="18">
        <v>31</v>
      </c>
      <c r="C7" s="26">
        <v>45.9</v>
      </c>
      <c r="D7" s="26">
        <v>85854</v>
      </c>
      <c r="E7" s="26">
        <v>540</v>
      </c>
      <c r="F7" s="26">
        <v>9315</v>
      </c>
      <c r="G7" s="26">
        <v>10566</v>
      </c>
      <c r="H7" s="26">
        <v>6898</v>
      </c>
      <c r="I7" s="26">
        <v>13692</v>
      </c>
      <c r="J7" s="26">
        <v>37274</v>
      </c>
      <c r="K7" s="26">
        <v>378</v>
      </c>
      <c r="L7" s="26">
        <v>162</v>
      </c>
    </row>
    <row r="8" spans="1:13" x14ac:dyDescent="0.2">
      <c r="A8" s="16" t="s">
        <v>123</v>
      </c>
      <c r="B8" s="16">
        <v>30</v>
      </c>
      <c r="C8" s="27">
        <v>54.4</v>
      </c>
      <c r="D8" s="27">
        <v>80327</v>
      </c>
      <c r="E8" s="27">
        <v>380</v>
      </c>
      <c r="F8" s="27">
        <v>9307</v>
      </c>
      <c r="G8" s="27">
        <v>11171</v>
      </c>
      <c r="H8" s="27">
        <v>6758</v>
      </c>
      <c r="I8" s="27">
        <v>13626</v>
      </c>
      <c r="J8" s="27">
        <v>36072</v>
      </c>
      <c r="K8" s="27">
        <v>266</v>
      </c>
      <c r="L8" s="27">
        <v>114</v>
      </c>
    </row>
    <row r="9" spans="1:13" x14ac:dyDescent="0.2">
      <c r="A9" s="18" t="s">
        <v>124</v>
      </c>
      <c r="B9" s="18">
        <v>31</v>
      </c>
      <c r="C9" s="26">
        <v>64.7</v>
      </c>
      <c r="D9" s="26">
        <v>83786</v>
      </c>
      <c r="E9" s="26">
        <v>281</v>
      </c>
      <c r="F9" s="26">
        <v>9664</v>
      </c>
      <c r="G9" s="26">
        <v>14872</v>
      </c>
      <c r="H9" s="26">
        <v>7022</v>
      </c>
      <c r="I9" s="26">
        <v>14140</v>
      </c>
      <c r="J9" s="26">
        <v>37274</v>
      </c>
      <c r="K9" s="26">
        <v>56</v>
      </c>
      <c r="L9" s="26">
        <v>225</v>
      </c>
    </row>
    <row r="10" spans="1:13" x14ac:dyDescent="0.2">
      <c r="A10" s="16" t="s">
        <v>125</v>
      </c>
      <c r="B10" s="16">
        <v>30</v>
      </c>
      <c r="C10" s="27">
        <v>72.5</v>
      </c>
      <c r="D10" s="27">
        <v>82013</v>
      </c>
      <c r="E10" s="27">
        <v>225</v>
      </c>
      <c r="F10" s="27">
        <v>8958</v>
      </c>
      <c r="G10" s="27">
        <v>17024</v>
      </c>
      <c r="H10" s="27">
        <v>6680</v>
      </c>
      <c r="I10" s="27">
        <v>13178</v>
      </c>
      <c r="J10" s="27">
        <v>36072</v>
      </c>
      <c r="K10" s="27">
        <v>45</v>
      </c>
      <c r="L10" s="27">
        <v>180</v>
      </c>
    </row>
    <row r="11" spans="1:13" x14ac:dyDescent="0.2">
      <c r="A11" s="18" t="s">
        <v>126</v>
      </c>
      <c r="B11" s="18">
        <v>31</v>
      </c>
      <c r="C11" s="26">
        <v>76.099999999999994</v>
      </c>
      <c r="D11" s="26">
        <v>88744</v>
      </c>
      <c r="E11" s="26">
        <v>238</v>
      </c>
      <c r="F11" s="26">
        <v>9664</v>
      </c>
      <c r="G11" s="26">
        <v>20615</v>
      </c>
      <c r="H11" s="26">
        <v>7040</v>
      </c>
      <c r="I11" s="26">
        <v>14140</v>
      </c>
      <c r="J11" s="26">
        <v>37274</v>
      </c>
      <c r="K11" s="26">
        <v>48</v>
      </c>
      <c r="L11" s="26">
        <v>190</v>
      </c>
    </row>
    <row r="12" spans="1:13" x14ac:dyDescent="0.2">
      <c r="A12" s="29" t="s">
        <v>127</v>
      </c>
      <c r="B12" s="29">
        <v>31</v>
      </c>
      <c r="C12" s="30">
        <v>73.400000000000006</v>
      </c>
      <c r="D12" s="30">
        <v>105103</v>
      </c>
      <c r="E12" s="30">
        <v>238</v>
      </c>
      <c r="F12" s="30">
        <v>10433</v>
      </c>
      <c r="G12" s="30">
        <v>21526</v>
      </c>
      <c r="H12" s="30">
        <v>7026</v>
      </c>
      <c r="I12" s="30">
        <v>13903</v>
      </c>
      <c r="J12" s="30">
        <v>52154</v>
      </c>
      <c r="K12" s="30">
        <v>48</v>
      </c>
      <c r="L12" s="30">
        <v>191</v>
      </c>
      <c r="M12" s="31" t="s">
        <v>136</v>
      </c>
    </row>
    <row r="13" spans="1:13" x14ac:dyDescent="0.2">
      <c r="A13" s="29" t="s">
        <v>128</v>
      </c>
      <c r="B13" s="29">
        <v>30</v>
      </c>
      <c r="C13" s="30">
        <v>68.2</v>
      </c>
      <c r="D13" s="30">
        <v>99247</v>
      </c>
      <c r="E13" s="30">
        <v>240</v>
      </c>
      <c r="F13" s="30">
        <v>9938</v>
      </c>
      <c r="G13" s="30">
        <v>18509</v>
      </c>
      <c r="H13" s="30">
        <v>6690</v>
      </c>
      <c r="I13" s="30">
        <v>13282</v>
      </c>
      <c r="J13" s="30">
        <v>50472</v>
      </c>
      <c r="K13" s="30">
        <v>48</v>
      </c>
      <c r="L13" s="30">
        <v>192</v>
      </c>
    </row>
    <row r="14" spans="1:13" x14ac:dyDescent="0.2">
      <c r="A14" s="29" t="s">
        <v>129</v>
      </c>
      <c r="B14" s="29">
        <v>31</v>
      </c>
      <c r="C14" s="30">
        <v>53.5</v>
      </c>
      <c r="D14" s="30">
        <v>102576</v>
      </c>
      <c r="E14" s="30">
        <v>400</v>
      </c>
      <c r="F14" s="30">
        <v>10553</v>
      </c>
      <c r="G14" s="30">
        <v>14910</v>
      </c>
      <c r="H14" s="30">
        <v>6990</v>
      </c>
      <c r="I14" s="30">
        <v>14072</v>
      </c>
      <c r="J14" s="30">
        <v>52154</v>
      </c>
      <c r="K14" s="30">
        <v>280</v>
      </c>
      <c r="L14" s="30">
        <v>120</v>
      </c>
    </row>
    <row r="15" spans="1:13" x14ac:dyDescent="0.2">
      <c r="A15" s="29" t="s">
        <v>130</v>
      </c>
      <c r="B15" s="29">
        <v>30</v>
      </c>
      <c r="C15" s="30">
        <v>46.1</v>
      </c>
      <c r="D15" s="30">
        <v>101922</v>
      </c>
      <c r="E15" s="30">
        <v>548</v>
      </c>
      <c r="F15" s="30">
        <v>10048</v>
      </c>
      <c r="G15" s="30">
        <v>13081</v>
      </c>
      <c r="H15" s="30">
        <v>6754</v>
      </c>
      <c r="I15" s="30">
        <v>13391</v>
      </c>
      <c r="J15" s="30">
        <v>50472</v>
      </c>
      <c r="K15" s="30">
        <v>384</v>
      </c>
      <c r="L15" s="30">
        <v>164</v>
      </c>
    </row>
    <row r="16" spans="1:13" x14ac:dyDescent="0.2">
      <c r="A16" s="29" t="s">
        <v>131</v>
      </c>
      <c r="B16" s="29">
        <v>31</v>
      </c>
      <c r="C16" s="30">
        <v>33.799999999999997</v>
      </c>
      <c r="D16" s="30">
        <v>117172</v>
      </c>
      <c r="E16" s="30">
        <v>1049</v>
      </c>
      <c r="F16" s="30">
        <v>10323</v>
      </c>
      <c r="G16" s="30">
        <v>13129</v>
      </c>
      <c r="H16" s="30">
        <v>7092</v>
      </c>
      <c r="I16" s="30">
        <v>13794</v>
      </c>
      <c r="J16" s="30">
        <v>52154</v>
      </c>
      <c r="K16" s="30">
        <v>799</v>
      </c>
      <c r="L16" s="30">
        <v>250</v>
      </c>
    </row>
    <row r="17" spans="1:12" x14ac:dyDescent="0.2">
      <c r="A17" s="28" t="s">
        <v>132</v>
      </c>
      <c r="B17" s="28">
        <f>SUM(B5:B16)</f>
        <v>365</v>
      </c>
      <c r="C17" s="28">
        <f>AVERAGE(C5:C16)</f>
        <v>54.708333333333336</v>
      </c>
      <c r="D17" s="28">
        <f t="shared" ref="D17:L17" si="0">SUM(D5:D16)</f>
        <v>1134222</v>
      </c>
      <c r="E17" s="28">
        <f t="shared" si="0"/>
        <v>6157</v>
      </c>
      <c r="F17" s="28">
        <f t="shared" si="0"/>
        <v>116460</v>
      </c>
      <c r="G17" s="28">
        <f t="shared" si="0"/>
        <v>174367</v>
      </c>
      <c r="H17" s="28">
        <f t="shared" si="0"/>
        <v>82613</v>
      </c>
      <c r="I17" s="28">
        <f t="shared" si="0"/>
        <v>163956</v>
      </c>
      <c r="J17" s="28">
        <f t="shared" si="0"/>
        <v>512313</v>
      </c>
      <c r="K17" s="28">
        <f t="shared" si="0"/>
        <v>3870</v>
      </c>
      <c r="L17" s="28">
        <f t="shared" si="0"/>
        <v>2288</v>
      </c>
    </row>
    <row r="19" spans="1:12" ht="30" customHeight="1" x14ac:dyDescent="0.2">
      <c r="A19" s="8" t="s">
        <v>137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mergeCells count="3">
    <mergeCell ref="A1:L1"/>
    <mergeCell ref="A2:L2"/>
    <mergeCell ref="A19:L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8" customWidth="1"/>
    <col min="2" max="2" width="7" customWidth="1"/>
    <col min="3" max="3" width="10" customWidth="1"/>
    <col min="4" max="6" width="12" customWidth="1"/>
  </cols>
  <sheetData>
    <row r="1" spans="1:12" ht="27.75" customHeight="1" x14ac:dyDescent="0.2">
      <c r="A1" s="14" t="s">
        <v>138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139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28" x14ac:dyDescent="0.2">
      <c r="A4" s="15" t="s">
        <v>108</v>
      </c>
      <c r="B4" s="15" t="s">
        <v>109</v>
      </c>
      <c r="C4" s="15" t="s">
        <v>140</v>
      </c>
      <c r="D4" s="15" t="s">
        <v>111</v>
      </c>
      <c r="E4" s="15" t="s">
        <v>141</v>
      </c>
    </row>
    <row r="5" spans="1:12" x14ac:dyDescent="0.2">
      <c r="A5" s="18" t="s">
        <v>120</v>
      </c>
      <c r="B5" s="18">
        <v>31</v>
      </c>
      <c r="C5" s="26">
        <v>33</v>
      </c>
      <c r="D5" s="26">
        <v>100821</v>
      </c>
      <c r="E5" s="26">
        <v>1161</v>
      </c>
    </row>
    <row r="6" spans="1:12" x14ac:dyDescent="0.2">
      <c r="A6" s="16" t="s">
        <v>121</v>
      </c>
      <c r="B6" s="16">
        <v>28</v>
      </c>
      <c r="C6" s="27">
        <v>34.9</v>
      </c>
      <c r="D6" s="27">
        <v>86657</v>
      </c>
      <c r="E6" s="27">
        <v>857</v>
      </c>
    </row>
    <row r="7" spans="1:12" x14ac:dyDescent="0.2">
      <c r="A7" s="18" t="s">
        <v>122</v>
      </c>
      <c r="B7" s="18">
        <v>31</v>
      </c>
      <c r="C7" s="26">
        <v>45.9</v>
      </c>
      <c r="D7" s="26">
        <v>85854</v>
      </c>
      <c r="E7" s="26">
        <v>540</v>
      </c>
    </row>
    <row r="8" spans="1:12" x14ac:dyDescent="0.2">
      <c r="A8" s="16" t="s">
        <v>123</v>
      </c>
      <c r="B8" s="16">
        <v>30</v>
      </c>
      <c r="C8" s="27">
        <v>54.4</v>
      </c>
      <c r="D8" s="27">
        <v>80327</v>
      </c>
      <c r="E8" s="27">
        <v>380</v>
      </c>
    </row>
    <row r="9" spans="1:12" x14ac:dyDescent="0.2">
      <c r="A9" s="18" t="s">
        <v>124</v>
      </c>
      <c r="B9" s="18">
        <v>31</v>
      </c>
      <c r="C9" s="26">
        <v>64.7</v>
      </c>
      <c r="D9" s="26">
        <v>83786</v>
      </c>
      <c r="E9" s="26">
        <v>281</v>
      </c>
    </row>
    <row r="10" spans="1:12" x14ac:dyDescent="0.2">
      <c r="A10" s="16" t="s">
        <v>125</v>
      </c>
      <c r="B10" s="16">
        <v>30</v>
      </c>
      <c r="C10" s="27">
        <v>72.5</v>
      </c>
      <c r="D10" s="27">
        <v>82013</v>
      </c>
      <c r="E10" s="27">
        <v>225</v>
      </c>
    </row>
    <row r="11" spans="1:12" x14ac:dyDescent="0.2">
      <c r="A11" s="18" t="s">
        <v>126</v>
      </c>
      <c r="B11" s="18">
        <v>31</v>
      </c>
      <c r="C11" s="26">
        <v>76.099999999999994</v>
      </c>
      <c r="D11" s="26">
        <v>88744</v>
      </c>
      <c r="E11" s="26">
        <v>238</v>
      </c>
    </row>
    <row r="12" spans="1:12" x14ac:dyDescent="0.2">
      <c r="A12" s="16" t="s">
        <v>127</v>
      </c>
      <c r="B12" s="16">
        <v>31</v>
      </c>
      <c r="C12" s="27">
        <v>73.400000000000006</v>
      </c>
      <c r="D12" s="27">
        <v>85883</v>
      </c>
      <c r="E12" s="27">
        <v>238</v>
      </c>
    </row>
    <row r="13" spans="1:12" x14ac:dyDescent="0.2">
      <c r="A13" s="18" t="s">
        <v>128</v>
      </c>
      <c r="B13" s="18">
        <v>30</v>
      </c>
      <c r="C13" s="26">
        <v>68.2</v>
      </c>
      <c r="D13" s="26">
        <v>80749</v>
      </c>
      <c r="E13" s="26">
        <v>240</v>
      </c>
    </row>
    <row r="14" spans="1:12" x14ac:dyDescent="0.2">
      <c r="A14" s="16" t="s">
        <v>129</v>
      </c>
      <c r="B14" s="16">
        <v>31</v>
      </c>
      <c r="C14" s="27">
        <v>53.5</v>
      </c>
      <c r="D14" s="27">
        <v>83597</v>
      </c>
      <c r="E14" s="27">
        <v>400</v>
      </c>
    </row>
    <row r="15" spans="1:12" x14ac:dyDescent="0.2">
      <c r="A15" s="18" t="s">
        <v>130</v>
      </c>
      <c r="B15" s="18">
        <v>30</v>
      </c>
      <c r="C15" s="26">
        <v>46.1</v>
      </c>
      <c r="D15" s="26">
        <v>83585</v>
      </c>
      <c r="E15" s="26">
        <v>548</v>
      </c>
    </row>
    <row r="16" spans="1:12" x14ac:dyDescent="0.2">
      <c r="A16" s="16" t="s">
        <v>131</v>
      </c>
      <c r="B16" s="16">
        <v>31</v>
      </c>
      <c r="C16" s="27">
        <v>33.799999999999997</v>
      </c>
      <c r="D16" s="27">
        <v>98222</v>
      </c>
      <c r="E16" s="27">
        <v>1049</v>
      </c>
    </row>
    <row r="19" spans="1:6" x14ac:dyDescent="0.2">
      <c r="A19" s="9" t="s">
        <v>142</v>
      </c>
      <c r="B19" s="9"/>
      <c r="C19" s="9"/>
      <c r="D19" s="9"/>
      <c r="E19" s="9"/>
      <c r="F19" s="9"/>
    </row>
  </sheetData>
  <mergeCells count="3">
    <mergeCell ref="A1:L1"/>
    <mergeCell ref="A2:L2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9" customWidth="1"/>
    <col min="2" max="2" width="10" customWidth="1"/>
    <col min="3" max="4" width="14" customWidth="1"/>
    <col min="5" max="5" width="4" customWidth="1"/>
    <col min="6" max="6" width="9" customWidth="1"/>
    <col min="7" max="7" width="10" customWidth="1"/>
    <col min="8" max="9" width="14" customWidth="1"/>
  </cols>
  <sheetData>
    <row r="1" spans="1:12" ht="27.75" customHeight="1" x14ac:dyDescent="0.2">
      <c r="A1" s="14" t="s">
        <v>143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144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36" customHeight="1" x14ac:dyDescent="0.2">
      <c r="A4" s="15" t="s">
        <v>145</v>
      </c>
      <c r="B4" s="15" t="s">
        <v>110</v>
      </c>
      <c r="C4" s="15" t="s">
        <v>146</v>
      </c>
      <c r="D4" s="15" t="s">
        <v>147</v>
      </c>
      <c r="F4" s="32" t="s">
        <v>148</v>
      </c>
      <c r="G4" s="32" t="s">
        <v>110</v>
      </c>
      <c r="H4" s="32" t="s">
        <v>149</v>
      </c>
      <c r="I4" s="32" t="s">
        <v>150</v>
      </c>
    </row>
    <row r="5" spans="1:12" x14ac:dyDescent="0.2">
      <c r="A5" s="18" t="s">
        <v>120</v>
      </c>
      <c r="B5" s="26">
        <v>33</v>
      </c>
      <c r="C5" s="26">
        <v>108662</v>
      </c>
      <c r="D5" s="26">
        <v>1139</v>
      </c>
      <c r="F5" s="18" t="s">
        <v>120</v>
      </c>
      <c r="G5" s="26">
        <v>33</v>
      </c>
      <c r="H5" s="26">
        <v>100821</v>
      </c>
      <c r="I5" s="26">
        <v>1161</v>
      </c>
    </row>
    <row r="6" spans="1:12" x14ac:dyDescent="0.2">
      <c r="A6" s="16" t="s">
        <v>121</v>
      </c>
      <c r="B6" s="27">
        <v>34.9</v>
      </c>
      <c r="C6" s="27">
        <v>93429</v>
      </c>
      <c r="D6" s="27">
        <v>779</v>
      </c>
      <c r="F6" s="16" t="s">
        <v>121</v>
      </c>
      <c r="G6" s="27">
        <v>34.9</v>
      </c>
      <c r="H6" s="27">
        <v>86657</v>
      </c>
      <c r="I6" s="27">
        <v>857</v>
      </c>
    </row>
    <row r="7" spans="1:12" x14ac:dyDescent="0.2">
      <c r="A7" s="18" t="s">
        <v>122</v>
      </c>
      <c r="B7" s="26">
        <v>45.9</v>
      </c>
      <c r="C7" s="26">
        <v>93584</v>
      </c>
      <c r="D7" s="26">
        <v>482</v>
      </c>
      <c r="F7" s="18" t="s">
        <v>122</v>
      </c>
      <c r="G7" s="26">
        <v>45.9</v>
      </c>
      <c r="H7" s="26">
        <v>85854</v>
      </c>
      <c r="I7" s="26">
        <v>540</v>
      </c>
    </row>
    <row r="8" spans="1:12" x14ac:dyDescent="0.2">
      <c r="A8" s="16" t="s">
        <v>123</v>
      </c>
      <c r="B8" s="27">
        <v>54.4</v>
      </c>
      <c r="C8" s="27">
        <v>89039</v>
      </c>
      <c r="D8" s="27">
        <v>343</v>
      </c>
      <c r="F8" s="16" t="s">
        <v>123</v>
      </c>
      <c r="G8" s="27">
        <v>54.4</v>
      </c>
      <c r="H8" s="27">
        <v>80327</v>
      </c>
      <c r="I8" s="27">
        <v>380</v>
      </c>
    </row>
    <row r="9" spans="1:12" x14ac:dyDescent="0.2">
      <c r="A9" s="18" t="s">
        <v>124</v>
      </c>
      <c r="B9" s="26">
        <v>64.7</v>
      </c>
      <c r="C9" s="26">
        <v>95784</v>
      </c>
      <c r="D9" s="26">
        <v>270</v>
      </c>
      <c r="F9" s="18" t="s">
        <v>124</v>
      </c>
      <c r="G9" s="26">
        <v>64.7</v>
      </c>
      <c r="H9" s="26">
        <v>83786</v>
      </c>
      <c r="I9" s="26">
        <v>281</v>
      </c>
    </row>
    <row r="10" spans="1:12" x14ac:dyDescent="0.2">
      <c r="A10" s="16" t="s">
        <v>125</v>
      </c>
      <c r="B10" s="27">
        <v>72.5</v>
      </c>
      <c r="C10" s="27">
        <v>95115</v>
      </c>
      <c r="D10" s="27">
        <v>223</v>
      </c>
      <c r="F10" s="16" t="s">
        <v>125</v>
      </c>
      <c r="G10" s="27">
        <v>72.5</v>
      </c>
      <c r="H10" s="27">
        <v>82013</v>
      </c>
      <c r="I10" s="27">
        <v>225</v>
      </c>
    </row>
    <row r="11" spans="1:12" x14ac:dyDescent="0.2">
      <c r="A11" s="18" t="s">
        <v>126</v>
      </c>
      <c r="B11" s="26">
        <v>76.099999999999994</v>
      </c>
      <c r="C11" s="26">
        <v>104702</v>
      </c>
      <c r="D11" s="26">
        <v>237</v>
      </c>
      <c r="F11" s="18" t="s">
        <v>126</v>
      </c>
      <c r="G11" s="26">
        <v>76.099999999999994</v>
      </c>
      <c r="H11" s="26">
        <v>88744</v>
      </c>
      <c r="I11" s="26">
        <v>238</v>
      </c>
    </row>
    <row r="12" spans="1:12" x14ac:dyDescent="0.2">
      <c r="A12" s="16" t="s">
        <v>127</v>
      </c>
      <c r="B12" s="27">
        <v>73.400000000000006</v>
      </c>
      <c r="C12" s="27">
        <v>100216</v>
      </c>
      <c r="D12" s="27">
        <v>237</v>
      </c>
      <c r="F12" s="16" t="s">
        <v>127</v>
      </c>
      <c r="G12" s="27">
        <v>73.400000000000006</v>
      </c>
      <c r="H12" s="27">
        <v>105103</v>
      </c>
      <c r="I12" s="27">
        <v>238</v>
      </c>
    </row>
    <row r="13" spans="1:12" x14ac:dyDescent="0.2">
      <c r="A13" s="18" t="s">
        <v>128</v>
      </c>
      <c r="B13" s="26">
        <v>68.2</v>
      </c>
      <c r="C13" s="26">
        <v>92868</v>
      </c>
      <c r="D13" s="26">
        <v>236</v>
      </c>
      <c r="F13" s="18" t="s">
        <v>128</v>
      </c>
      <c r="G13" s="26">
        <v>68.2</v>
      </c>
      <c r="H13" s="26">
        <v>99247</v>
      </c>
      <c r="I13" s="26">
        <v>240</v>
      </c>
    </row>
    <row r="14" spans="1:12" x14ac:dyDescent="0.2">
      <c r="A14" s="16" t="s">
        <v>129</v>
      </c>
      <c r="B14" s="27">
        <v>53.5</v>
      </c>
      <c r="C14" s="27">
        <v>92756</v>
      </c>
      <c r="D14" s="27">
        <v>366</v>
      </c>
      <c r="F14" s="16" t="s">
        <v>129</v>
      </c>
      <c r="G14" s="27">
        <v>53.5</v>
      </c>
      <c r="H14" s="27">
        <v>102576</v>
      </c>
      <c r="I14" s="27">
        <v>400</v>
      </c>
    </row>
    <row r="15" spans="1:12" x14ac:dyDescent="0.2">
      <c r="A15" s="18" t="s">
        <v>130</v>
      </c>
      <c r="B15" s="26">
        <v>46.1</v>
      </c>
      <c r="C15" s="26">
        <v>90863</v>
      </c>
      <c r="D15" s="26">
        <v>488</v>
      </c>
      <c r="F15" s="18" t="s">
        <v>130</v>
      </c>
      <c r="G15" s="26">
        <v>46.1</v>
      </c>
      <c r="H15" s="26">
        <v>101922</v>
      </c>
      <c r="I15" s="26">
        <v>548</v>
      </c>
    </row>
    <row r="16" spans="1:12" x14ac:dyDescent="0.2">
      <c r="A16" s="16" t="s">
        <v>131</v>
      </c>
      <c r="B16" s="27">
        <v>33.799999999999997</v>
      </c>
      <c r="C16" s="27">
        <v>105610</v>
      </c>
      <c r="D16" s="27">
        <v>1001</v>
      </c>
      <c r="F16" s="16" t="s">
        <v>131</v>
      </c>
      <c r="G16" s="27">
        <v>33.799999999999997</v>
      </c>
      <c r="H16" s="27">
        <v>117172</v>
      </c>
      <c r="I16" s="27">
        <v>1049</v>
      </c>
    </row>
    <row r="19" spans="1:10" ht="31.5" customHeight="1" x14ac:dyDescent="0.2">
      <c r="A19" s="9" t="s">
        <v>151</v>
      </c>
      <c r="B19" s="9"/>
      <c r="C19" s="9"/>
      <c r="D19" s="9"/>
      <c r="E19" s="9"/>
      <c r="F19" s="9"/>
      <c r="G19" s="9"/>
      <c r="H19" s="9"/>
      <c r="I19" s="9"/>
      <c r="J19" s="9"/>
    </row>
  </sheetData>
  <mergeCells count="3">
    <mergeCell ref="A1:L1"/>
    <mergeCell ref="A2:L2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40" customWidth="1"/>
    <col min="2" max="2" width="55" customWidth="1"/>
  </cols>
  <sheetData>
    <row r="1" spans="1:12" ht="27.75" customHeight="1" x14ac:dyDescent="0.2">
      <c r="A1" s="14" t="s">
        <v>152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153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spans="1:12" x14ac:dyDescent="0.2">
      <c r="A5" s="7" t="s">
        <v>154</v>
      </c>
      <c r="B5" s="7"/>
      <c r="C5" s="7"/>
      <c r="D5" s="7"/>
      <c r="E5" s="7"/>
      <c r="F5" s="7"/>
      <c r="G5" s="7"/>
      <c r="H5" s="7"/>
    </row>
    <row r="6" spans="1:12" x14ac:dyDescent="0.2">
      <c r="A6" s="21" t="s">
        <v>155</v>
      </c>
      <c r="B6" s="11" t="s">
        <v>156</v>
      </c>
      <c r="C6" s="11"/>
      <c r="D6" s="11"/>
      <c r="E6" s="11"/>
      <c r="F6" s="11"/>
      <c r="G6" s="11"/>
      <c r="H6" s="11"/>
    </row>
    <row r="7" spans="1:12" x14ac:dyDescent="0.2">
      <c r="A7" s="33" t="s">
        <v>157</v>
      </c>
      <c r="B7" s="6" t="s">
        <v>158</v>
      </c>
      <c r="C7" s="6"/>
      <c r="D7" s="6"/>
      <c r="E7" s="6"/>
      <c r="F7" s="6"/>
      <c r="G7" s="6"/>
      <c r="H7" s="6"/>
    </row>
    <row r="8" spans="1:12" x14ac:dyDescent="0.2">
      <c r="A8" s="33" t="s">
        <v>159</v>
      </c>
      <c r="B8" s="6" t="s">
        <v>160</v>
      </c>
      <c r="C8" s="6"/>
      <c r="D8" s="6"/>
      <c r="E8" s="6"/>
      <c r="F8" s="6"/>
      <c r="G8" s="6"/>
      <c r="H8" s="6"/>
    </row>
    <row r="9" spans="1:12" x14ac:dyDescent="0.2">
      <c r="A9" s="21" t="s">
        <v>161</v>
      </c>
      <c r="B9" s="11" t="s">
        <v>162</v>
      </c>
      <c r="C9" s="11"/>
      <c r="D9" s="11"/>
      <c r="E9" s="11"/>
      <c r="F9" s="11"/>
      <c r="G9" s="11"/>
      <c r="H9" s="11"/>
    </row>
    <row r="10" spans="1:12" x14ac:dyDescent="0.2">
      <c r="A10" s="21" t="s">
        <v>163</v>
      </c>
      <c r="B10" s="11" t="s">
        <v>164</v>
      </c>
      <c r="C10" s="11"/>
      <c r="D10" s="11"/>
      <c r="E10" s="11"/>
      <c r="F10" s="11"/>
      <c r="G10" s="11"/>
      <c r="H10" s="11"/>
    </row>
    <row r="11" spans="1:12" x14ac:dyDescent="0.2">
      <c r="A11" s="21" t="s">
        <v>165</v>
      </c>
      <c r="B11" s="11" t="s">
        <v>166</v>
      </c>
      <c r="C11" s="11"/>
      <c r="D11" s="11"/>
      <c r="E11" s="11"/>
      <c r="F11" s="11"/>
      <c r="G11" s="11"/>
      <c r="H11" s="11"/>
    </row>
    <row r="12" spans="1:12" x14ac:dyDescent="0.2">
      <c r="A12" s="21" t="s">
        <v>167</v>
      </c>
      <c r="B12" s="11" t="s">
        <v>168</v>
      </c>
      <c r="C12" s="11"/>
      <c r="D12" s="11"/>
      <c r="E12" s="11"/>
      <c r="F12" s="11"/>
      <c r="G12" s="11"/>
      <c r="H12" s="11"/>
    </row>
    <row r="13" spans="1:12" x14ac:dyDescent="0.2">
      <c r="A13" s="21" t="s">
        <v>169</v>
      </c>
      <c r="B13" s="11" t="s">
        <v>170</v>
      </c>
      <c r="C13" s="11"/>
      <c r="D13" s="11"/>
      <c r="E13" s="11"/>
      <c r="F13" s="11"/>
      <c r="G13" s="11"/>
      <c r="H13" s="11"/>
    </row>
    <row r="14" spans="1:12" x14ac:dyDescent="0.2">
      <c r="A14" s="21" t="s">
        <v>171</v>
      </c>
      <c r="B14" s="11" t="s">
        <v>172</v>
      </c>
      <c r="C14" s="11"/>
      <c r="D14" s="11"/>
      <c r="E14" s="11"/>
      <c r="F14" s="11"/>
      <c r="G14" s="11"/>
      <c r="H14" s="11"/>
    </row>
    <row r="15" spans="1:12" x14ac:dyDescent="0.2">
      <c r="A15" s="21" t="s">
        <v>173</v>
      </c>
      <c r="B15" s="11" t="s">
        <v>174</v>
      </c>
      <c r="C15" s="11"/>
      <c r="D15" s="11"/>
      <c r="E15" s="11"/>
      <c r="F15" s="11"/>
      <c r="G15" s="11"/>
      <c r="H15" s="11"/>
    </row>
    <row r="16" spans="1:12" x14ac:dyDescent="0.2">
      <c r="A16" s="21" t="s">
        <v>175</v>
      </c>
      <c r="B16" s="11" t="s">
        <v>174</v>
      </c>
      <c r="C16" s="11"/>
      <c r="D16" s="11"/>
      <c r="E16" s="11"/>
      <c r="F16" s="11"/>
      <c r="G16" s="11"/>
      <c r="H16" s="11"/>
    </row>
    <row r="17" spans="1:8" x14ac:dyDescent="0.2">
      <c r="A17" s="21"/>
      <c r="B17" s="11"/>
      <c r="C17" s="11"/>
      <c r="D17" s="11"/>
      <c r="E17" s="11"/>
      <c r="F17" s="11"/>
      <c r="G17" s="11"/>
      <c r="H17" s="11"/>
    </row>
    <row r="18" spans="1:8" x14ac:dyDescent="0.2">
      <c r="A18" s="7" t="s">
        <v>176</v>
      </c>
      <c r="B18" s="7"/>
      <c r="C18" s="7"/>
      <c r="D18" s="7"/>
      <c r="E18" s="7"/>
      <c r="F18" s="7"/>
      <c r="G18" s="7"/>
      <c r="H18" s="7"/>
    </row>
    <row r="19" spans="1:8" x14ac:dyDescent="0.2">
      <c r="A19" s="21" t="s">
        <v>155</v>
      </c>
      <c r="B19" s="11" t="s">
        <v>177</v>
      </c>
      <c r="C19" s="11"/>
      <c r="D19" s="11"/>
      <c r="E19" s="11"/>
      <c r="F19" s="11"/>
      <c r="G19" s="11"/>
      <c r="H19" s="11"/>
    </row>
    <row r="20" spans="1:8" x14ac:dyDescent="0.2">
      <c r="A20" s="21" t="s">
        <v>178</v>
      </c>
      <c r="B20" s="11" t="s">
        <v>179</v>
      </c>
      <c r="C20" s="11"/>
      <c r="D20" s="11"/>
      <c r="E20" s="11"/>
      <c r="F20" s="11"/>
      <c r="G20" s="11"/>
      <c r="H20" s="11"/>
    </row>
    <row r="21" spans="1:8" x14ac:dyDescent="0.2">
      <c r="A21" s="21" t="s">
        <v>161</v>
      </c>
      <c r="B21" s="11" t="s">
        <v>180</v>
      </c>
      <c r="C21" s="11"/>
      <c r="D21" s="11"/>
      <c r="E21" s="11"/>
      <c r="F21" s="11"/>
      <c r="G21" s="11"/>
      <c r="H21" s="11"/>
    </row>
    <row r="22" spans="1:8" x14ac:dyDescent="0.2">
      <c r="A22" s="21" t="s">
        <v>163</v>
      </c>
      <c r="B22" s="11" t="s">
        <v>181</v>
      </c>
      <c r="C22" s="11"/>
      <c r="D22" s="11"/>
      <c r="E22" s="11"/>
      <c r="F22" s="11"/>
      <c r="G22" s="11"/>
      <c r="H22" s="11"/>
    </row>
    <row r="23" spans="1:8" x14ac:dyDescent="0.2">
      <c r="A23" s="21" t="s">
        <v>182</v>
      </c>
      <c r="B23" s="11" t="s">
        <v>183</v>
      </c>
      <c r="C23" s="11"/>
      <c r="D23" s="11"/>
      <c r="E23" s="11"/>
      <c r="F23" s="11"/>
      <c r="G23" s="11"/>
      <c r="H23" s="11"/>
    </row>
    <row r="24" spans="1:8" x14ac:dyDescent="0.2">
      <c r="A24" s="33" t="s">
        <v>169</v>
      </c>
      <c r="B24" s="6" t="s">
        <v>184</v>
      </c>
      <c r="C24" s="6"/>
      <c r="D24" s="6"/>
      <c r="E24" s="6"/>
      <c r="F24" s="6"/>
      <c r="G24" s="6"/>
      <c r="H24" s="6"/>
    </row>
    <row r="25" spans="1:8" x14ac:dyDescent="0.2">
      <c r="A25" s="21" t="s">
        <v>171</v>
      </c>
      <c r="B25" s="11" t="s">
        <v>185</v>
      </c>
      <c r="C25" s="11"/>
      <c r="D25" s="11"/>
      <c r="E25" s="11"/>
      <c r="F25" s="11"/>
      <c r="G25" s="11"/>
      <c r="H25" s="11"/>
    </row>
    <row r="26" spans="1:8" x14ac:dyDescent="0.2">
      <c r="A26" s="33" t="s">
        <v>173</v>
      </c>
      <c r="B26" s="6" t="s">
        <v>186</v>
      </c>
      <c r="C26" s="6"/>
      <c r="D26" s="6"/>
      <c r="E26" s="6"/>
      <c r="F26" s="6"/>
      <c r="G26" s="6"/>
      <c r="H26" s="6"/>
    </row>
    <row r="27" spans="1:8" x14ac:dyDescent="0.2">
      <c r="A27" s="21" t="s">
        <v>175</v>
      </c>
      <c r="B27" s="11" t="s">
        <v>174</v>
      </c>
      <c r="C27" s="11"/>
      <c r="D27" s="11"/>
      <c r="E27" s="11"/>
      <c r="F27" s="11"/>
      <c r="G27" s="11"/>
      <c r="H27" s="11"/>
    </row>
    <row r="29" spans="1:8" x14ac:dyDescent="0.2">
      <c r="A29" s="5" t="s">
        <v>187</v>
      </c>
      <c r="B29" s="5"/>
      <c r="C29" s="5"/>
      <c r="D29" s="5"/>
      <c r="E29" s="5"/>
      <c r="F29" s="5"/>
      <c r="G29" s="5"/>
      <c r="H29" s="5"/>
    </row>
    <row r="30" spans="1:8" ht="48" customHeight="1" x14ac:dyDescent="0.2">
      <c r="A30" s="9" t="s">
        <v>188</v>
      </c>
      <c r="B30" s="9"/>
      <c r="C30" s="9"/>
      <c r="D30" s="9"/>
      <c r="E30" s="9"/>
      <c r="F30" s="9"/>
      <c r="G30" s="9"/>
      <c r="H30" s="9"/>
    </row>
  </sheetData>
  <mergeCells count="27">
    <mergeCell ref="A29:H29"/>
    <mergeCell ref="A30:H30"/>
    <mergeCell ref="B23:H23"/>
    <mergeCell ref="B24:H24"/>
    <mergeCell ref="B25:H25"/>
    <mergeCell ref="B26:H26"/>
    <mergeCell ref="B27:H27"/>
    <mergeCell ref="A18:H18"/>
    <mergeCell ref="B19:H19"/>
    <mergeCell ref="B20:H20"/>
    <mergeCell ref="B21:H21"/>
    <mergeCell ref="B22:H22"/>
    <mergeCell ref="B13:H13"/>
    <mergeCell ref="B14:H14"/>
    <mergeCell ref="B15:H15"/>
    <mergeCell ref="B16:H16"/>
    <mergeCell ref="B17:H17"/>
    <mergeCell ref="B8:H8"/>
    <mergeCell ref="B9:H9"/>
    <mergeCell ref="B10:H10"/>
    <mergeCell ref="B11:H11"/>
    <mergeCell ref="B12:H12"/>
    <mergeCell ref="A1:L1"/>
    <mergeCell ref="A2:L2"/>
    <mergeCell ref="A5:H5"/>
    <mergeCell ref="B6:H6"/>
    <mergeCell ref="B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5" customWidth="1"/>
    <col min="2" max="2" width="36" customWidth="1"/>
    <col min="3" max="3" width="10" customWidth="1"/>
    <col min="4" max="6" width="12" customWidth="1"/>
    <col min="7" max="7" width="16" customWidth="1"/>
    <col min="8" max="8" width="14" customWidth="1"/>
  </cols>
  <sheetData>
    <row r="1" spans="1:12" ht="27.75" customHeight="1" x14ac:dyDescent="0.2">
      <c r="A1" s="14" t="s">
        <v>189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190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36" customHeight="1" x14ac:dyDescent="0.2">
      <c r="A4" s="15" t="s">
        <v>191</v>
      </c>
      <c r="B4" s="15" t="s">
        <v>192</v>
      </c>
      <c r="C4" s="15" t="s">
        <v>193</v>
      </c>
      <c r="D4" s="15" t="s">
        <v>194</v>
      </c>
      <c r="E4" s="15" t="s">
        <v>195</v>
      </c>
      <c r="F4" s="15" t="s">
        <v>196</v>
      </c>
      <c r="G4" s="15" t="s">
        <v>197</v>
      </c>
      <c r="H4" s="15" t="s">
        <v>198</v>
      </c>
    </row>
    <row r="5" spans="1:12" x14ac:dyDescent="0.2">
      <c r="A5" s="18">
        <v>1</v>
      </c>
      <c r="B5" s="19" t="s">
        <v>199</v>
      </c>
      <c r="C5" s="26">
        <v>120</v>
      </c>
      <c r="D5" s="26">
        <v>128</v>
      </c>
      <c r="E5" s="26">
        <v>40</v>
      </c>
      <c r="F5" s="26">
        <f t="shared" ref="F5:F13" si="0">D5-E5</f>
        <v>88</v>
      </c>
      <c r="G5" s="34">
        <v>2860</v>
      </c>
      <c r="H5" s="35">
        <f t="shared" ref="H5:H13" si="1">C5*F5*G5/1000</f>
        <v>30201.599999999999</v>
      </c>
    </row>
    <row r="6" spans="1:12" x14ac:dyDescent="0.2">
      <c r="A6" s="16">
        <v>2</v>
      </c>
      <c r="B6" s="17" t="s">
        <v>200</v>
      </c>
      <c r="C6" s="27">
        <v>120</v>
      </c>
      <c r="D6" s="27">
        <v>128</v>
      </c>
      <c r="E6" s="27">
        <v>40</v>
      </c>
      <c r="F6" s="27">
        <f t="shared" si="0"/>
        <v>88</v>
      </c>
      <c r="G6" s="34">
        <v>2860</v>
      </c>
      <c r="H6" s="35">
        <f t="shared" si="1"/>
        <v>30201.599999999999</v>
      </c>
    </row>
    <row r="7" spans="1:12" x14ac:dyDescent="0.2">
      <c r="A7" s="18">
        <v>3</v>
      </c>
      <c r="B7" s="19" t="s">
        <v>201</v>
      </c>
      <c r="C7" s="26">
        <v>80</v>
      </c>
      <c r="D7" s="26">
        <v>96</v>
      </c>
      <c r="E7" s="26">
        <v>32</v>
      </c>
      <c r="F7" s="26">
        <f t="shared" si="0"/>
        <v>64</v>
      </c>
      <c r="G7" s="34">
        <v>2600</v>
      </c>
      <c r="H7" s="35">
        <f t="shared" si="1"/>
        <v>13312</v>
      </c>
    </row>
    <row r="8" spans="1:12" x14ac:dyDescent="0.2">
      <c r="A8" s="16">
        <v>4</v>
      </c>
      <c r="B8" s="17" t="s">
        <v>202</v>
      </c>
      <c r="C8" s="27">
        <v>40</v>
      </c>
      <c r="D8" s="27">
        <v>128</v>
      </c>
      <c r="E8" s="27">
        <v>40</v>
      </c>
      <c r="F8" s="27">
        <f t="shared" si="0"/>
        <v>88</v>
      </c>
      <c r="G8" s="34">
        <v>1200</v>
      </c>
      <c r="H8" s="35">
        <f t="shared" si="1"/>
        <v>4224</v>
      </c>
    </row>
    <row r="9" spans="1:12" x14ac:dyDescent="0.2">
      <c r="A9" s="18">
        <v>5</v>
      </c>
      <c r="B9" s="19" t="s">
        <v>203</v>
      </c>
      <c r="C9" s="26">
        <v>60</v>
      </c>
      <c r="D9" s="26">
        <v>64</v>
      </c>
      <c r="E9" s="26">
        <v>20</v>
      </c>
      <c r="F9" s="26">
        <f t="shared" si="0"/>
        <v>44</v>
      </c>
      <c r="G9" s="34">
        <v>3380</v>
      </c>
      <c r="H9" s="35">
        <f t="shared" si="1"/>
        <v>8923.2000000000007</v>
      </c>
    </row>
    <row r="10" spans="1:12" x14ac:dyDescent="0.2">
      <c r="A10" s="16">
        <v>6</v>
      </c>
      <c r="B10" s="17" t="s">
        <v>204</v>
      </c>
      <c r="C10" s="27">
        <v>100</v>
      </c>
      <c r="D10" s="27">
        <v>128</v>
      </c>
      <c r="E10" s="27">
        <v>40</v>
      </c>
      <c r="F10" s="27">
        <f t="shared" si="0"/>
        <v>88</v>
      </c>
      <c r="G10" s="34">
        <v>3900</v>
      </c>
      <c r="H10" s="35">
        <f t="shared" si="1"/>
        <v>34320</v>
      </c>
    </row>
    <row r="11" spans="1:12" x14ac:dyDescent="0.2">
      <c r="A11" s="18">
        <v>7</v>
      </c>
      <c r="B11" s="19" t="s">
        <v>205</v>
      </c>
      <c r="C11" s="26">
        <v>150</v>
      </c>
      <c r="D11" s="26">
        <v>96</v>
      </c>
      <c r="E11" s="26">
        <v>32</v>
      </c>
      <c r="F11" s="26">
        <f t="shared" si="0"/>
        <v>64</v>
      </c>
      <c r="G11" s="34">
        <v>2600</v>
      </c>
      <c r="H11" s="35">
        <f t="shared" si="1"/>
        <v>24960</v>
      </c>
    </row>
    <row r="12" spans="1:12" x14ac:dyDescent="0.2">
      <c r="A12" s="16">
        <v>8</v>
      </c>
      <c r="B12" s="17" t="s">
        <v>206</v>
      </c>
      <c r="C12" s="27">
        <v>30</v>
      </c>
      <c r="D12" s="27">
        <v>128</v>
      </c>
      <c r="E12" s="27">
        <v>40</v>
      </c>
      <c r="F12" s="27">
        <f t="shared" si="0"/>
        <v>88</v>
      </c>
      <c r="G12" s="34">
        <v>1500</v>
      </c>
      <c r="H12" s="35">
        <f t="shared" si="1"/>
        <v>3960</v>
      </c>
    </row>
    <row r="13" spans="1:12" x14ac:dyDescent="0.2">
      <c r="A13" s="18">
        <v>9</v>
      </c>
      <c r="B13" s="19" t="s">
        <v>207</v>
      </c>
      <c r="C13" s="26">
        <v>40</v>
      </c>
      <c r="D13" s="26">
        <v>64</v>
      </c>
      <c r="E13" s="26">
        <v>20</v>
      </c>
      <c r="F13" s="26">
        <f t="shared" si="0"/>
        <v>44</v>
      </c>
      <c r="G13" s="34">
        <v>4160</v>
      </c>
      <c r="H13" s="35">
        <f t="shared" si="1"/>
        <v>7321.6</v>
      </c>
    </row>
    <row r="14" spans="1:12" x14ac:dyDescent="0.2">
      <c r="B14" s="28" t="s">
        <v>208</v>
      </c>
      <c r="C14" s="28">
        <f>SUM(C5:C13)</f>
        <v>740</v>
      </c>
      <c r="H14" s="28">
        <f>SUM(H5:H13)</f>
        <v>157424</v>
      </c>
    </row>
    <row r="16" spans="1:12" ht="43.5" customHeight="1" x14ac:dyDescent="0.2">
      <c r="A16" s="9" t="s">
        <v>209</v>
      </c>
      <c r="B16" s="9"/>
      <c r="C16" s="9"/>
      <c r="D16" s="9"/>
      <c r="E16" s="9"/>
      <c r="F16" s="9"/>
      <c r="G16" s="9"/>
      <c r="H16" s="9"/>
    </row>
    <row r="18" spans="1:8" ht="51.75" customHeight="1" x14ac:dyDescent="0.2">
      <c r="A18" s="8" t="s">
        <v>210</v>
      </c>
      <c r="B18" s="8"/>
      <c r="C18" s="8"/>
      <c r="D18" s="8"/>
      <c r="E18" s="8"/>
      <c r="F18" s="8"/>
      <c r="G18" s="8"/>
      <c r="H18" s="8"/>
    </row>
  </sheetData>
  <mergeCells count="4">
    <mergeCell ref="A1:L1"/>
    <mergeCell ref="A2:L2"/>
    <mergeCell ref="A16:H16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" width="10" customWidth="1"/>
    <col min="2" max="3" width="14" customWidth="1"/>
    <col min="4" max="4" width="18" customWidth="1"/>
    <col min="5" max="5" width="12" customWidth="1"/>
    <col min="6" max="10" width="13" customWidth="1"/>
  </cols>
  <sheetData>
    <row r="1" spans="1:12" ht="27.75" customHeight="1" x14ac:dyDescent="0.2">
      <c r="A1" s="14" t="s">
        <v>211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212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spans="1:12" x14ac:dyDescent="0.2">
      <c r="A5" s="7" t="s">
        <v>213</v>
      </c>
      <c r="B5" s="7"/>
      <c r="C5" s="7"/>
      <c r="D5" s="7"/>
      <c r="E5" s="7"/>
      <c r="F5" s="7"/>
      <c r="G5" s="7"/>
    </row>
    <row r="6" spans="1:12" x14ac:dyDescent="0.2">
      <c r="A6" s="21" t="s">
        <v>214</v>
      </c>
      <c r="B6" s="11" t="s">
        <v>215</v>
      </c>
      <c r="C6" s="11"/>
      <c r="D6" s="11"/>
      <c r="E6" s="11"/>
      <c r="F6" s="11"/>
      <c r="G6" s="11"/>
    </row>
    <row r="7" spans="1:12" x14ac:dyDescent="0.2">
      <c r="A7" s="21" t="s">
        <v>216</v>
      </c>
      <c r="B7" s="11" t="s">
        <v>217</v>
      </c>
      <c r="C7" s="11"/>
      <c r="D7" s="11"/>
      <c r="E7" s="11"/>
      <c r="F7" s="11"/>
      <c r="G7" s="11"/>
    </row>
    <row r="8" spans="1:12" x14ac:dyDescent="0.2">
      <c r="A8" s="21" t="s">
        <v>216</v>
      </c>
      <c r="B8" s="11" t="s">
        <v>218</v>
      </c>
      <c r="C8" s="11"/>
      <c r="D8" s="11"/>
      <c r="E8" s="11"/>
      <c r="F8" s="11"/>
      <c r="G8" s="11"/>
    </row>
    <row r="9" spans="1:12" x14ac:dyDescent="0.2">
      <c r="A9" s="21"/>
      <c r="B9" s="11"/>
      <c r="C9" s="11"/>
      <c r="D9" s="11"/>
      <c r="E9" s="11"/>
      <c r="F9" s="11"/>
      <c r="G9" s="11"/>
    </row>
    <row r="10" spans="1:12" x14ac:dyDescent="0.2">
      <c r="A10" s="7" t="s">
        <v>219</v>
      </c>
      <c r="B10" s="7"/>
      <c r="C10" s="7"/>
      <c r="D10" s="7"/>
      <c r="E10" s="7"/>
      <c r="F10" s="7"/>
      <c r="G10" s="7"/>
    </row>
    <row r="11" spans="1:12" x14ac:dyDescent="0.2">
      <c r="A11" s="21" t="s">
        <v>220</v>
      </c>
      <c r="B11" s="11" t="s">
        <v>221</v>
      </c>
      <c r="C11" s="11"/>
      <c r="D11" s="11"/>
      <c r="E11" s="11"/>
      <c r="F11" s="11"/>
      <c r="G11" s="11"/>
    </row>
    <row r="12" spans="1:12" x14ac:dyDescent="0.2">
      <c r="A12" s="21" t="s">
        <v>222</v>
      </c>
      <c r="B12" s="11" t="s">
        <v>223</v>
      </c>
      <c r="C12" s="11"/>
      <c r="D12" s="11"/>
      <c r="E12" s="11"/>
      <c r="F12" s="11"/>
      <c r="G12" s="11"/>
    </row>
    <row r="13" spans="1:12" x14ac:dyDescent="0.2">
      <c r="A13" s="21" t="s">
        <v>224</v>
      </c>
      <c r="B13" s="11" t="s">
        <v>225</v>
      </c>
      <c r="C13" s="11"/>
      <c r="D13" s="11"/>
      <c r="E13" s="11"/>
      <c r="F13" s="11"/>
      <c r="G13" s="11"/>
    </row>
    <row r="15" spans="1:12" x14ac:dyDescent="0.2">
      <c r="A15" s="4" t="s">
        <v>226</v>
      </c>
      <c r="B15" s="4"/>
      <c r="C15" s="4"/>
      <c r="D15" s="4"/>
      <c r="E15" s="4"/>
      <c r="F15" s="4"/>
      <c r="G15" s="4"/>
    </row>
    <row r="16" spans="1:12" ht="42" customHeight="1" x14ac:dyDescent="0.2">
      <c r="A16" s="15" t="s">
        <v>227</v>
      </c>
      <c r="B16" s="15" t="s">
        <v>228</v>
      </c>
      <c r="C16" s="15" t="s">
        <v>229</v>
      </c>
      <c r="D16" s="15" t="s">
        <v>230</v>
      </c>
      <c r="E16" s="15" t="s">
        <v>231</v>
      </c>
      <c r="F16" s="15" t="s">
        <v>232</v>
      </c>
      <c r="G16" s="15" t="s">
        <v>233</v>
      </c>
    </row>
    <row r="17" spans="1:10" x14ac:dyDescent="0.2">
      <c r="A17" s="19" t="s">
        <v>234</v>
      </c>
      <c r="B17" s="36">
        <v>8.85</v>
      </c>
      <c r="C17" s="37">
        <v>35</v>
      </c>
      <c r="D17" s="38">
        <f>100-C17</f>
        <v>65</v>
      </c>
      <c r="E17" s="39">
        <f>(D17/100)^3</f>
        <v>0.27462500000000006</v>
      </c>
      <c r="F17" s="39">
        <f>B17*E17</f>
        <v>2.4304312500000003</v>
      </c>
      <c r="G17" s="39">
        <f>B17-F17</f>
        <v>6.4195687499999998</v>
      </c>
    </row>
    <row r="18" spans="1:10" x14ac:dyDescent="0.2">
      <c r="A18" s="17" t="s">
        <v>235</v>
      </c>
      <c r="B18" s="40">
        <v>4.72</v>
      </c>
      <c r="C18" s="37">
        <v>35</v>
      </c>
      <c r="D18" s="38">
        <f>100-C18</f>
        <v>65</v>
      </c>
      <c r="E18" s="39">
        <f>(D18/100)^3</f>
        <v>0.27462500000000006</v>
      </c>
      <c r="F18" s="39">
        <f>B18*E18</f>
        <v>1.2962300000000002</v>
      </c>
      <c r="G18" s="39">
        <f>B18-F18</f>
        <v>3.4237699999999993</v>
      </c>
    </row>
    <row r="19" spans="1:10" x14ac:dyDescent="0.2">
      <c r="A19" s="19" t="s">
        <v>236</v>
      </c>
      <c r="B19" s="36">
        <v>2.68</v>
      </c>
      <c r="C19" s="37">
        <v>35</v>
      </c>
      <c r="D19" s="38">
        <f>100-C19</f>
        <v>65</v>
      </c>
      <c r="E19" s="39">
        <f>(D19/100)^3</f>
        <v>0.27462500000000006</v>
      </c>
      <c r="F19" s="39">
        <f>B19*E19</f>
        <v>0.73599500000000018</v>
      </c>
      <c r="G19" s="39">
        <f>B19-F19</f>
        <v>1.944005</v>
      </c>
    </row>
    <row r="23" spans="1:10" x14ac:dyDescent="0.2">
      <c r="A23" s="3" t="s">
        <v>237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ht="36" customHeight="1" x14ac:dyDescent="0.2">
      <c r="A24" s="32" t="s">
        <v>238</v>
      </c>
      <c r="B24" s="32" t="s">
        <v>239</v>
      </c>
      <c r="C24" s="32" t="s">
        <v>240</v>
      </c>
      <c r="D24" s="32" t="s">
        <v>241</v>
      </c>
      <c r="E24" s="32" t="s">
        <v>242</v>
      </c>
      <c r="F24" s="32" t="s">
        <v>243</v>
      </c>
      <c r="G24" s="32" t="s">
        <v>244</v>
      </c>
      <c r="H24" s="32" t="s">
        <v>245</v>
      </c>
      <c r="I24" s="32" t="s">
        <v>246</v>
      </c>
      <c r="J24" s="32" t="s">
        <v>247</v>
      </c>
    </row>
    <row r="25" spans="1:10" x14ac:dyDescent="0.2">
      <c r="A25" s="41" t="s">
        <v>248</v>
      </c>
      <c r="B25" s="36">
        <v>29.9</v>
      </c>
      <c r="C25" s="36">
        <v>8.85</v>
      </c>
      <c r="D25" s="36">
        <v>4.42</v>
      </c>
      <c r="E25" s="36">
        <v>100</v>
      </c>
      <c r="F25" s="36">
        <v>4.72</v>
      </c>
      <c r="G25" s="36">
        <v>2.36</v>
      </c>
      <c r="H25" s="36">
        <v>100</v>
      </c>
      <c r="I25" s="36">
        <v>2.68</v>
      </c>
      <c r="J25" s="36">
        <v>1.33</v>
      </c>
    </row>
    <row r="26" spans="1:10" x14ac:dyDescent="0.2">
      <c r="A26" s="42" t="s">
        <v>249</v>
      </c>
      <c r="B26" s="40">
        <v>37.700000000000003</v>
      </c>
      <c r="C26" s="40">
        <v>8.85</v>
      </c>
      <c r="D26" s="40">
        <v>3.93</v>
      </c>
      <c r="E26" s="40">
        <v>89</v>
      </c>
      <c r="F26" s="40">
        <v>4.72</v>
      </c>
      <c r="G26" s="40">
        <v>2.1</v>
      </c>
      <c r="H26" s="40">
        <v>89</v>
      </c>
      <c r="I26" s="40">
        <v>2.68</v>
      </c>
      <c r="J26" s="40">
        <v>1.21</v>
      </c>
    </row>
    <row r="27" spans="1:10" x14ac:dyDescent="0.2">
      <c r="A27" s="41" t="s">
        <v>250</v>
      </c>
      <c r="B27" s="36">
        <v>43.1</v>
      </c>
      <c r="C27" s="36">
        <v>8.85</v>
      </c>
      <c r="D27" s="36">
        <v>3.36</v>
      </c>
      <c r="E27" s="36">
        <v>76</v>
      </c>
      <c r="F27" s="36">
        <v>4.72</v>
      </c>
      <c r="G27" s="36">
        <v>1.79</v>
      </c>
      <c r="H27" s="36">
        <v>76</v>
      </c>
      <c r="I27" s="36">
        <v>2.68</v>
      </c>
      <c r="J27" s="36">
        <v>1.06</v>
      </c>
    </row>
    <row r="28" spans="1:10" x14ac:dyDescent="0.2">
      <c r="A28" s="42" t="s">
        <v>251</v>
      </c>
      <c r="B28" s="40">
        <v>47.4</v>
      </c>
      <c r="C28" s="40">
        <v>8.85</v>
      </c>
      <c r="D28" s="40">
        <v>2.89</v>
      </c>
      <c r="E28" s="40">
        <v>65</v>
      </c>
      <c r="F28" s="40">
        <v>4.72</v>
      </c>
      <c r="G28" s="40">
        <v>1.54</v>
      </c>
      <c r="H28" s="40">
        <v>65</v>
      </c>
      <c r="I28" s="40">
        <v>2.68</v>
      </c>
      <c r="J28" s="40">
        <v>0.95</v>
      </c>
    </row>
    <row r="29" spans="1:10" x14ac:dyDescent="0.2">
      <c r="A29" s="41" t="s">
        <v>252</v>
      </c>
      <c r="B29" s="36">
        <v>50.3</v>
      </c>
      <c r="C29" s="36">
        <v>8.85</v>
      </c>
      <c r="D29" s="36">
        <v>2.59</v>
      </c>
      <c r="E29" s="36">
        <v>59</v>
      </c>
      <c r="F29" s="36">
        <v>4.72</v>
      </c>
      <c r="G29" s="36">
        <v>1.38</v>
      </c>
      <c r="H29" s="36">
        <v>59</v>
      </c>
      <c r="I29" s="36">
        <v>2.68</v>
      </c>
      <c r="J29" s="36">
        <v>0.87</v>
      </c>
    </row>
    <row r="30" spans="1:10" x14ac:dyDescent="0.2">
      <c r="A30" s="42" t="s">
        <v>253</v>
      </c>
      <c r="B30" s="40">
        <v>51.1</v>
      </c>
      <c r="C30" s="40">
        <v>8.85</v>
      </c>
      <c r="D30" s="40">
        <v>2.5</v>
      </c>
      <c r="E30" s="40">
        <v>57</v>
      </c>
      <c r="F30" s="40">
        <v>4.72</v>
      </c>
      <c r="G30" s="40">
        <v>1.34</v>
      </c>
      <c r="H30" s="40">
        <v>57</v>
      </c>
      <c r="I30" s="40">
        <v>2.68</v>
      </c>
      <c r="J30" s="40">
        <v>0.85</v>
      </c>
    </row>
    <row r="31" spans="1:10" x14ac:dyDescent="0.2">
      <c r="A31" s="41" t="s">
        <v>254</v>
      </c>
      <c r="B31" s="36">
        <v>53.6</v>
      </c>
      <c r="C31" s="36">
        <v>8.85</v>
      </c>
      <c r="D31" s="36">
        <v>2.2400000000000002</v>
      </c>
      <c r="E31" s="36">
        <v>51</v>
      </c>
      <c r="F31" s="36">
        <v>4.72</v>
      </c>
      <c r="G31" s="36">
        <v>1.2</v>
      </c>
      <c r="H31" s="36">
        <v>51</v>
      </c>
      <c r="I31" s="36">
        <v>2.68</v>
      </c>
      <c r="J31" s="36">
        <v>0.78</v>
      </c>
    </row>
    <row r="32" spans="1:10" x14ac:dyDescent="0.2">
      <c r="A32" s="42" t="s">
        <v>255</v>
      </c>
      <c r="B32" s="40">
        <v>55.6</v>
      </c>
      <c r="C32" s="40">
        <v>8.85</v>
      </c>
      <c r="D32" s="40">
        <v>2.02</v>
      </c>
      <c r="E32" s="40">
        <v>46</v>
      </c>
      <c r="F32" s="40">
        <v>4.72</v>
      </c>
      <c r="G32" s="40">
        <v>1.08</v>
      </c>
      <c r="H32" s="40">
        <v>46</v>
      </c>
      <c r="I32" s="40">
        <v>2.68</v>
      </c>
      <c r="J32" s="40">
        <v>0.73</v>
      </c>
    </row>
    <row r="34" spans="1:10" ht="51.75" customHeight="1" x14ac:dyDescent="0.2">
      <c r="A34" s="8" t="s">
        <v>256</v>
      </c>
      <c r="B34" s="8"/>
      <c r="C34" s="8"/>
      <c r="D34" s="8"/>
      <c r="E34" s="8"/>
      <c r="F34" s="8"/>
      <c r="G34" s="8"/>
      <c r="H34" s="8"/>
      <c r="I34" s="8"/>
      <c r="J34" s="8"/>
    </row>
  </sheetData>
  <mergeCells count="14">
    <mergeCell ref="B13:G13"/>
    <mergeCell ref="A15:G15"/>
    <mergeCell ref="A23:J23"/>
    <mergeCell ref="A34:J34"/>
    <mergeCell ref="B8:G8"/>
    <mergeCell ref="B9:G9"/>
    <mergeCell ref="A10:G10"/>
    <mergeCell ref="B11:G11"/>
    <mergeCell ref="B12:G12"/>
    <mergeCell ref="A1:L1"/>
    <mergeCell ref="A2:L2"/>
    <mergeCell ref="A5:G5"/>
    <mergeCell ref="B6:G6"/>
    <mergeCell ref="B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3"/>
  <sheetViews>
    <sheetView showGridLines="0" zoomScaleNormal="100" workbookViewId="0">
      <selection activeCell="N44" sqref="N44"/>
    </sheetView>
  </sheetViews>
  <sheetFormatPr baseColWidth="10" defaultColWidth="8.6640625" defaultRowHeight="15" x14ac:dyDescent="0.2"/>
  <cols>
    <col min="1" max="1" width="30" customWidth="1"/>
    <col min="2" max="3" width="14" customWidth="1"/>
    <col min="4" max="4" width="10" customWidth="1"/>
    <col min="5" max="9" width="14" customWidth="1"/>
    <col min="10" max="10" width="24" customWidth="1"/>
  </cols>
  <sheetData>
    <row r="1" spans="1:12" ht="27.75" customHeight="1" x14ac:dyDescent="0.2">
      <c r="A1" s="14" t="s">
        <v>257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258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spans="1:12" x14ac:dyDescent="0.2">
      <c r="A5" s="3" t="s">
        <v>259</v>
      </c>
      <c r="B5" s="3"/>
      <c r="C5" s="3"/>
      <c r="D5" s="3"/>
      <c r="E5" s="3"/>
      <c r="F5" s="3"/>
      <c r="G5" s="3"/>
      <c r="H5" s="3"/>
      <c r="I5" s="3"/>
      <c r="J5" s="3"/>
    </row>
    <row r="6" spans="1:12" x14ac:dyDescent="0.2">
      <c r="A6" s="21" t="s">
        <v>260</v>
      </c>
      <c r="B6" s="43">
        <v>0.105</v>
      </c>
    </row>
    <row r="7" spans="1:12" x14ac:dyDescent="0.2">
      <c r="A7" s="21" t="s">
        <v>261</v>
      </c>
      <c r="B7" s="43">
        <v>1.1499999999999999</v>
      </c>
    </row>
    <row r="8" spans="1:12" x14ac:dyDescent="0.2">
      <c r="A8" s="21" t="s">
        <v>262</v>
      </c>
      <c r="B8" s="43">
        <v>0.41699999999999998</v>
      </c>
    </row>
    <row r="9" spans="1:12" x14ac:dyDescent="0.2">
      <c r="A9" s="21" t="s">
        <v>263</v>
      </c>
      <c r="B9" s="43">
        <v>5.3019999999999996</v>
      </c>
    </row>
    <row r="10" spans="1:12" x14ac:dyDescent="0.2">
      <c r="A10" s="21" t="s">
        <v>264</v>
      </c>
      <c r="B10" s="43">
        <v>48</v>
      </c>
    </row>
    <row r="11" spans="1:12" x14ac:dyDescent="0.2">
      <c r="A11" s="21" t="s">
        <v>265</v>
      </c>
      <c r="B11" s="43">
        <v>63</v>
      </c>
    </row>
    <row r="12" spans="1:12" x14ac:dyDescent="0.2">
      <c r="A12" s="21" t="s">
        <v>266</v>
      </c>
      <c r="B12" s="43">
        <v>37274</v>
      </c>
    </row>
    <row r="13" spans="1:12" x14ac:dyDescent="0.2">
      <c r="A13" s="21" t="s">
        <v>267</v>
      </c>
      <c r="B13" s="43">
        <v>-2087</v>
      </c>
    </row>
    <row r="14" spans="1:12" x14ac:dyDescent="0.2">
      <c r="A14" s="21" t="s">
        <v>268</v>
      </c>
      <c r="B14" s="43">
        <v>1664</v>
      </c>
    </row>
    <row r="15" spans="1:12" x14ac:dyDescent="0.2">
      <c r="A15" s="21" t="s">
        <v>269</v>
      </c>
      <c r="B15" s="43">
        <v>57</v>
      </c>
    </row>
    <row r="16" spans="1:12" x14ac:dyDescent="0.2">
      <c r="A16" s="21" t="s">
        <v>270</v>
      </c>
      <c r="B16" s="43">
        <v>47</v>
      </c>
    </row>
    <row r="17" spans="1:10" x14ac:dyDescent="0.2">
      <c r="A17" s="21" t="s">
        <v>271</v>
      </c>
      <c r="B17" s="43">
        <v>-36.1</v>
      </c>
    </row>
    <row r="18" spans="1:10" x14ac:dyDescent="0.2">
      <c r="A18" s="21" t="s">
        <v>272</v>
      </c>
      <c r="B18" s="43">
        <v>14880</v>
      </c>
    </row>
    <row r="21" spans="1:10" x14ac:dyDescent="0.2">
      <c r="A21" s="3" t="s">
        <v>273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ht="42" customHeight="1" x14ac:dyDescent="0.2">
      <c r="A22" s="15" t="s">
        <v>108</v>
      </c>
      <c r="B22" s="15" t="s">
        <v>274</v>
      </c>
      <c r="C22" s="15" t="s">
        <v>275</v>
      </c>
      <c r="D22" s="15" t="s">
        <v>239</v>
      </c>
      <c r="E22" s="15" t="s">
        <v>276</v>
      </c>
      <c r="F22" s="15" t="s">
        <v>277</v>
      </c>
      <c r="G22" s="15" t="s">
        <v>278</v>
      </c>
      <c r="H22" s="15" t="s">
        <v>279</v>
      </c>
      <c r="I22" s="15" t="s">
        <v>280</v>
      </c>
      <c r="J22" s="15" t="s">
        <v>281</v>
      </c>
    </row>
    <row r="23" spans="1:10" x14ac:dyDescent="0.2">
      <c r="A23" s="19" t="s">
        <v>120</v>
      </c>
      <c r="B23" s="26">
        <v>100821</v>
      </c>
      <c r="C23" s="26">
        <v>1161</v>
      </c>
      <c r="D23" s="26">
        <v>33</v>
      </c>
      <c r="E23" s="35">
        <f t="shared" ref="E23:E34" si="0">$B$12+IF(D23&lt;$B$10,$B$13*(D23-$B$10),0)+IF(D23&gt;$B$11,$B$14*(D23-$B$11),0)</f>
        <v>68579</v>
      </c>
      <c r="F23" s="35">
        <f t="shared" ref="F23:F34" si="1">$B$16+IF(D23&lt;$B$15,$B$17*(D23-$B$15),0)</f>
        <v>913.40000000000009</v>
      </c>
      <c r="G23" s="35">
        <f>IF(1&gt;=8,$B$18,0)</f>
        <v>0</v>
      </c>
      <c r="H23" s="35">
        <f t="shared" ref="H23:H34" si="2">E23-B23+G23</f>
        <v>-32242</v>
      </c>
      <c r="I23" s="35">
        <f t="shared" ref="I23:I34" si="3">F23-C23</f>
        <v>-247.59999999999991</v>
      </c>
      <c r="J23" s="26"/>
    </row>
    <row r="24" spans="1:10" x14ac:dyDescent="0.2">
      <c r="A24" s="17" t="s">
        <v>121</v>
      </c>
      <c r="B24" s="27">
        <v>86657</v>
      </c>
      <c r="C24" s="27">
        <v>857</v>
      </c>
      <c r="D24" s="27">
        <v>34.9</v>
      </c>
      <c r="E24" s="35">
        <f t="shared" si="0"/>
        <v>64613.700000000004</v>
      </c>
      <c r="F24" s="35">
        <f t="shared" si="1"/>
        <v>844.81000000000006</v>
      </c>
      <c r="G24" s="35">
        <f>IF(2&gt;=8,$B$18,0)</f>
        <v>0</v>
      </c>
      <c r="H24" s="35">
        <f t="shared" si="2"/>
        <v>-22043.299999999996</v>
      </c>
      <c r="I24" s="35">
        <f t="shared" si="3"/>
        <v>-12.189999999999941</v>
      </c>
      <c r="J24" s="27"/>
    </row>
    <row r="25" spans="1:10" x14ac:dyDescent="0.2">
      <c r="A25" s="19" t="s">
        <v>122</v>
      </c>
      <c r="B25" s="26">
        <v>85854</v>
      </c>
      <c r="C25" s="26">
        <v>540</v>
      </c>
      <c r="D25" s="26">
        <v>45.9</v>
      </c>
      <c r="E25" s="35">
        <f t="shared" si="0"/>
        <v>41656.700000000004</v>
      </c>
      <c r="F25" s="35">
        <f t="shared" si="1"/>
        <v>447.71000000000009</v>
      </c>
      <c r="G25" s="35">
        <f>IF(3&gt;=8,$B$18,0)</f>
        <v>0</v>
      </c>
      <c r="H25" s="35">
        <f t="shared" si="2"/>
        <v>-44197.299999999996</v>
      </c>
      <c r="I25" s="35">
        <f t="shared" si="3"/>
        <v>-92.289999999999907</v>
      </c>
      <c r="J25" s="26"/>
    </row>
    <row r="26" spans="1:10" x14ac:dyDescent="0.2">
      <c r="A26" s="17" t="s">
        <v>123</v>
      </c>
      <c r="B26" s="27">
        <v>80327</v>
      </c>
      <c r="C26" s="27">
        <v>380</v>
      </c>
      <c r="D26" s="27">
        <v>54.4</v>
      </c>
      <c r="E26" s="35">
        <f t="shared" si="0"/>
        <v>37274</v>
      </c>
      <c r="F26" s="35">
        <f t="shared" si="1"/>
        <v>140.86000000000007</v>
      </c>
      <c r="G26" s="35">
        <f>IF(4&gt;=8,$B$18,0)</f>
        <v>0</v>
      </c>
      <c r="H26" s="35">
        <f t="shared" si="2"/>
        <v>-43053</v>
      </c>
      <c r="I26" s="35">
        <f t="shared" si="3"/>
        <v>-239.13999999999993</v>
      </c>
      <c r="J26" s="27"/>
    </row>
    <row r="27" spans="1:10" x14ac:dyDescent="0.2">
      <c r="A27" s="19" t="s">
        <v>124</v>
      </c>
      <c r="B27" s="26">
        <v>83786</v>
      </c>
      <c r="C27" s="26">
        <v>281</v>
      </c>
      <c r="D27" s="26">
        <v>64.7</v>
      </c>
      <c r="E27" s="35">
        <f t="shared" si="0"/>
        <v>40102.800000000003</v>
      </c>
      <c r="F27" s="35">
        <f t="shared" si="1"/>
        <v>47</v>
      </c>
      <c r="G27" s="35">
        <f>IF(5&gt;=8,$B$18,0)</f>
        <v>0</v>
      </c>
      <c r="H27" s="35">
        <f t="shared" si="2"/>
        <v>-43683.199999999997</v>
      </c>
      <c r="I27" s="35">
        <f t="shared" si="3"/>
        <v>-234</v>
      </c>
      <c r="J27" s="26"/>
    </row>
    <row r="28" spans="1:10" x14ac:dyDescent="0.2">
      <c r="A28" s="17" t="s">
        <v>125</v>
      </c>
      <c r="B28" s="27">
        <v>82013</v>
      </c>
      <c r="C28" s="27">
        <v>225</v>
      </c>
      <c r="D28" s="27">
        <v>72.5</v>
      </c>
      <c r="E28" s="35">
        <f t="shared" si="0"/>
        <v>53082</v>
      </c>
      <c r="F28" s="35">
        <f t="shared" si="1"/>
        <v>47</v>
      </c>
      <c r="G28" s="35">
        <f>IF(6&gt;=8,$B$18,0)</f>
        <v>0</v>
      </c>
      <c r="H28" s="35">
        <f t="shared" si="2"/>
        <v>-28931</v>
      </c>
      <c r="I28" s="35">
        <f t="shared" si="3"/>
        <v>-178</v>
      </c>
      <c r="J28" s="27"/>
    </row>
    <row r="29" spans="1:10" x14ac:dyDescent="0.2">
      <c r="A29" s="19" t="s">
        <v>126</v>
      </c>
      <c r="B29" s="26">
        <v>88744</v>
      </c>
      <c r="C29" s="26">
        <v>238</v>
      </c>
      <c r="D29" s="26">
        <v>76.099999999999994</v>
      </c>
      <c r="E29" s="35">
        <f t="shared" si="0"/>
        <v>59072.399999999994</v>
      </c>
      <c r="F29" s="35">
        <f t="shared" si="1"/>
        <v>47</v>
      </c>
      <c r="G29" s="35">
        <f>IF(7&gt;=8,$B$18,0)</f>
        <v>0</v>
      </c>
      <c r="H29" s="35">
        <f t="shared" si="2"/>
        <v>-29671.600000000006</v>
      </c>
      <c r="I29" s="35">
        <f t="shared" si="3"/>
        <v>-191</v>
      </c>
      <c r="J29" s="26"/>
    </row>
    <row r="30" spans="1:10" x14ac:dyDescent="0.2">
      <c r="A30" s="44" t="s">
        <v>127</v>
      </c>
      <c r="B30" s="30">
        <v>105103</v>
      </c>
      <c r="C30" s="30">
        <v>238</v>
      </c>
      <c r="D30" s="30">
        <v>73.400000000000006</v>
      </c>
      <c r="E30" s="45">
        <f t="shared" si="0"/>
        <v>54579.600000000006</v>
      </c>
      <c r="F30" s="45">
        <f t="shared" si="1"/>
        <v>47</v>
      </c>
      <c r="G30" s="45">
        <f>IF(8&gt;=8,$B$18,0)</f>
        <v>14880</v>
      </c>
      <c r="H30" s="45">
        <f t="shared" si="2"/>
        <v>-35643.399999999994</v>
      </c>
      <c r="I30" s="45">
        <f t="shared" si="3"/>
        <v>-191</v>
      </c>
      <c r="J30" s="30" t="s">
        <v>282</v>
      </c>
    </row>
    <row r="31" spans="1:10" x14ac:dyDescent="0.2">
      <c r="A31" s="44" t="s">
        <v>128</v>
      </c>
      <c r="B31" s="30">
        <v>99247</v>
      </c>
      <c r="C31" s="30">
        <v>240</v>
      </c>
      <c r="D31" s="30">
        <v>68.2</v>
      </c>
      <c r="E31" s="45">
        <f t="shared" si="0"/>
        <v>45926.8</v>
      </c>
      <c r="F31" s="45">
        <f t="shared" si="1"/>
        <v>47</v>
      </c>
      <c r="G31" s="45">
        <f>IF(9&gt;=8,$B$18,0)</f>
        <v>14880</v>
      </c>
      <c r="H31" s="45">
        <f t="shared" si="2"/>
        <v>-38440.199999999997</v>
      </c>
      <c r="I31" s="45">
        <f t="shared" si="3"/>
        <v>-193</v>
      </c>
      <c r="J31" s="30" t="s">
        <v>282</v>
      </c>
    </row>
    <row r="32" spans="1:10" x14ac:dyDescent="0.2">
      <c r="A32" s="44" t="s">
        <v>129</v>
      </c>
      <c r="B32" s="30">
        <v>102576</v>
      </c>
      <c r="C32" s="30">
        <v>400</v>
      </c>
      <c r="D32" s="30">
        <v>53.5</v>
      </c>
      <c r="E32" s="45">
        <f t="shared" si="0"/>
        <v>37274</v>
      </c>
      <c r="F32" s="45">
        <f t="shared" si="1"/>
        <v>173.35000000000002</v>
      </c>
      <c r="G32" s="45">
        <f>IF(10&gt;=8,$B$18,0)</f>
        <v>14880</v>
      </c>
      <c r="H32" s="45">
        <f t="shared" si="2"/>
        <v>-50422</v>
      </c>
      <c r="I32" s="45">
        <f t="shared" si="3"/>
        <v>-226.64999999999998</v>
      </c>
      <c r="J32" s="30" t="s">
        <v>282</v>
      </c>
    </row>
    <row r="33" spans="1:10" x14ac:dyDescent="0.2">
      <c r="A33" s="44" t="s">
        <v>130</v>
      </c>
      <c r="B33" s="30">
        <v>101922</v>
      </c>
      <c r="C33" s="30">
        <v>548</v>
      </c>
      <c r="D33" s="30">
        <v>46.1</v>
      </c>
      <c r="E33" s="45">
        <f t="shared" si="0"/>
        <v>41239.299999999996</v>
      </c>
      <c r="F33" s="45">
        <f t="shared" si="1"/>
        <v>440.48999999999995</v>
      </c>
      <c r="G33" s="45">
        <f>IF(11&gt;=8,$B$18,0)</f>
        <v>14880</v>
      </c>
      <c r="H33" s="45">
        <f t="shared" si="2"/>
        <v>-45802.700000000004</v>
      </c>
      <c r="I33" s="45">
        <f t="shared" si="3"/>
        <v>-107.51000000000005</v>
      </c>
      <c r="J33" s="30" t="s">
        <v>282</v>
      </c>
    </row>
    <row r="34" spans="1:10" x14ac:dyDescent="0.2">
      <c r="A34" s="44" t="s">
        <v>131</v>
      </c>
      <c r="B34" s="30">
        <v>117172</v>
      </c>
      <c r="C34" s="30">
        <v>1049</v>
      </c>
      <c r="D34" s="30">
        <v>33.799999999999997</v>
      </c>
      <c r="E34" s="45">
        <f t="shared" si="0"/>
        <v>66909.400000000009</v>
      </c>
      <c r="F34" s="45">
        <f t="shared" si="1"/>
        <v>884.5200000000001</v>
      </c>
      <c r="G34" s="45">
        <f>IF(12&gt;=8,$B$18,0)</f>
        <v>14880</v>
      </c>
      <c r="H34" s="45">
        <f t="shared" si="2"/>
        <v>-35382.599999999991</v>
      </c>
      <c r="I34" s="45">
        <f t="shared" si="3"/>
        <v>-164.4799999999999</v>
      </c>
      <c r="J34" s="30" t="s">
        <v>282</v>
      </c>
    </row>
    <row r="35" spans="1:10" x14ac:dyDescent="0.2">
      <c r="A35" s="46" t="s">
        <v>283</v>
      </c>
      <c r="B35" s="28"/>
      <c r="C35" s="28"/>
      <c r="D35" s="28"/>
      <c r="E35" s="28"/>
      <c r="F35" s="28"/>
      <c r="G35" s="28"/>
      <c r="H35" s="28">
        <f>SUM(H23:H34)</f>
        <v>-449512.3</v>
      </c>
      <c r="I35" s="28">
        <f>SUM(I23:I34)</f>
        <v>-2076.8599999999997</v>
      </c>
      <c r="J35" s="28"/>
    </row>
    <row r="37" spans="1:10" x14ac:dyDescent="0.2">
      <c r="A37" s="15" t="s">
        <v>284</v>
      </c>
      <c r="B37" s="32" t="s">
        <v>285</v>
      </c>
      <c r="C37" s="32" t="s">
        <v>286</v>
      </c>
      <c r="D37" s="32" t="s">
        <v>287</v>
      </c>
      <c r="E37" s="32" t="s">
        <v>281</v>
      </c>
    </row>
    <row r="38" spans="1:10" x14ac:dyDescent="0.2">
      <c r="A38" s="47" t="s">
        <v>288</v>
      </c>
      <c r="B38" s="48">
        <f>H35</f>
        <v>-449512.3</v>
      </c>
      <c r="C38" s="49">
        <f>$B$6</f>
        <v>0.105</v>
      </c>
      <c r="D38" s="50">
        <f>B38*C38</f>
        <v>-47198.791499999999</v>
      </c>
      <c r="E38" s="47" t="s">
        <v>289</v>
      </c>
    </row>
    <row r="39" spans="1:10" x14ac:dyDescent="0.2">
      <c r="A39" s="51" t="s">
        <v>290</v>
      </c>
      <c r="B39" s="52">
        <f>I35</f>
        <v>-2076.8599999999997</v>
      </c>
      <c r="C39" s="53">
        <f>$B$7</f>
        <v>1.1499999999999999</v>
      </c>
      <c r="D39" s="54">
        <f>B39*C39</f>
        <v>-2388.3889999999992</v>
      </c>
      <c r="E39" s="51" t="s">
        <v>291</v>
      </c>
    </row>
    <row r="40" spans="1:10" x14ac:dyDescent="0.2">
      <c r="A40" s="55" t="s">
        <v>292</v>
      </c>
      <c r="B40" s="56"/>
      <c r="C40" s="57"/>
      <c r="D40" s="58">
        <f>D38+D39</f>
        <v>-49587.180500000002</v>
      </c>
      <c r="E40" s="55"/>
    </row>
    <row r="41" spans="1:10" x14ac:dyDescent="0.2">
      <c r="A41" s="51" t="s">
        <v>293</v>
      </c>
      <c r="B41" s="52">
        <f>H35</f>
        <v>-449512.3</v>
      </c>
      <c r="C41" s="53">
        <f>$B$8/1000</f>
        <v>4.17E-4</v>
      </c>
      <c r="D41" s="54">
        <f>B41*C41</f>
        <v>-187.4466291</v>
      </c>
      <c r="E41" s="51" t="s">
        <v>294</v>
      </c>
    </row>
    <row r="42" spans="1:10" x14ac:dyDescent="0.2">
      <c r="A42" s="47" t="s">
        <v>295</v>
      </c>
      <c r="B42" s="48">
        <f>I35</f>
        <v>-2076.8599999999997</v>
      </c>
      <c r="C42" s="49">
        <f>$B$9/1000</f>
        <v>5.3019999999999994E-3</v>
      </c>
      <c r="D42" s="50">
        <f>B42*C42</f>
        <v>-11.011511719999998</v>
      </c>
      <c r="E42" s="47" t="s">
        <v>296</v>
      </c>
    </row>
    <row r="43" spans="1:10" x14ac:dyDescent="0.2">
      <c r="A43" s="55" t="s">
        <v>297</v>
      </c>
      <c r="B43" s="56"/>
      <c r="C43" s="57"/>
      <c r="D43" s="58">
        <f>D41+D42</f>
        <v>-198.45814081999998</v>
      </c>
      <c r="E43" s="55"/>
    </row>
  </sheetData>
  <mergeCells count="4">
    <mergeCell ref="A1:L1"/>
    <mergeCell ref="A2:L2"/>
    <mergeCell ref="A5:J5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2"/>
  <sheetViews>
    <sheetView showGridLines="0" tabSelected="1" zoomScaleNormal="100" workbookViewId="0">
      <selection sqref="A1:L1"/>
    </sheetView>
  </sheetViews>
  <sheetFormatPr baseColWidth="10" defaultColWidth="8.6640625" defaultRowHeight="15" x14ac:dyDescent="0.2"/>
  <cols>
    <col min="1" max="1" width="38" customWidth="1"/>
    <col min="2" max="2" width="65" customWidth="1"/>
  </cols>
  <sheetData>
    <row r="1" spans="1:12" ht="27.75" customHeight="1" x14ac:dyDescent="0.2">
      <c r="A1" s="14" t="s">
        <v>298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3" t="s">
        <v>299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spans="1:12" ht="18" customHeight="1" x14ac:dyDescent="0.2">
      <c r="A5" s="2" t="s">
        <v>300</v>
      </c>
      <c r="B5" s="2"/>
      <c r="C5" s="2"/>
      <c r="D5" s="2"/>
      <c r="E5" s="2"/>
      <c r="F5" s="2"/>
      <c r="G5" s="2"/>
    </row>
    <row r="6" spans="1:12" ht="18" customHeight="1" x14ac:dyDescent="0.2">
      <c r="A6" s="59" t="s">
        <v>301</v>
      </c>
      <c r="B6" s="1" t="s">
        <v>302</v>
      </c>
      <c r="C6" s="1"/>
      <c r="D6" s="1"/>
      <c r="E6" s="1"/>
      <c r="F6" s="1"/>
      <c r="G6" s="1"/>
    </row>
    <row r="7" spans="1:12" ht="18" customHeight="1" x14ac:dyDescent="0.2">
      <c r="A7" s="59" t="s">
        <v>303</v>
      </c>
      <c r="B7" s="1" t="s">
        <v>304</v>
      </c>
      <c r="C7" s="1"/>
      <c r="D7" s="1"/>
      <c r="E7" s="1"/>
      <c r="F7" s="1"/>
      <c r="G7" s="1"/>
    </row>
    <row r="8" spans="1:12" ht="18" customHeight="1" x14ac:dyDescent="0.2">
      <c r="A8" s="59" t="s">
        <v>305</v>
      </c>
      <c r="B8" s="1" t="s">
        <v>306</v>
      </c>
      <c r="C8" s="1"/>
      <c r="D8" s="1"/>
      <c r="E8" s="1"/>
      <c r="F8" s="1"/>
      <c r="G8" s="1"/>
    </row>
    <row r="9" spans="1:12" ht="18" customHeight="1" x14ac:dyDescent="0.2">
      <c r="A9" s="59" t="s">
        <v>307</v>
      </c>
      <c r="B9" s="1" t="s">
        <v>308</v>
      </c>
      <c r="C9" s="1"/>
      <c r="D9" s="1"/>
      <c r="E9" s="1"/>
      <c r="F9" s="1"/>
      <c r="G9" s="1"/>
    </row>
    <row r="10" spans="1:12" ht="18" customHeight="1" x14ac:dyDescent="0.2">
      <c r="A10" s="59" t="s">
        <v>309</v>
      </c>
      <c r="B10" s="1" t="s">
        <v>310</v>
      </c>
      <c r="C10" s="1"/>
      <c r="D10" s="1"/>
      <c r="E10" s="1"/>
      <c r="F10" s="1"/>
      <c r="G10" s="1"/>
    </row>
    <row r="11" spans="1:12" ht="18" customHeight="1" x14ac:dyDescent="0.2">
      <c r="A11" s="59" t="s">
        <v>311</v>
      </c>
      <c r="B11" s="1" t="s">
        <v>312</v>
      </c>
      <c r="C11" s="1"/>
      <c r="D11" s="1"/>
      <c r="E11" s="1"/>
      <c r="F11" s="1"/>
      <c r="G11" s="1"/>
    </row>
    <row r="12" spans="1:12" ht="18" customHeight="1" x14ac:dyDescent="0.2">
      <c r="A12" s="59"/>
      <c r="B12" s="1"/>
      <c r="C12" s="1"/>
      <c r="D12" s="1"/>
      <c r="E12" s="1"/>
      <c r="F12" s="1"/>
      <c r="G12" s="1"/>
    </row>
    <row r="13" spans="1:12" ht="18" customHeight="1" x14ac:dyDescent="0.2">
      <c r="A13" s="2" t="s">
        <v>313</v>
      </c>
      <c r="B13" s="2"/>
      <c r="C13" s="2"/>
      <c r="D13" s="2"/>
      <c r="E13" s="2"/>
      <c r="F13" s="2"/>
      <c r="G13" s="2"/>
    </row>
    <row r="14" spans="1:12" ht="18" customHeight="1" x14ac:dyDescent="0.2">
      <c r="A14" s="59" t="s">
        <v>314</v>
      </c>
      <c r="B14" s="1" t="s">
        <v>315</v>
      </c>
      <c r="C14" s="1"/>
      <c r="D14" s="1"/>
      <c r="E14" s="1"/>
      <c r="F14" s="1"/>
      <c r="G14" s="1"/>
    </row>
    <row r="15" spans="1:12" ht="18" customHeight="1" x14ac:dyDescent="0.2">
      <c r="A15" s="59" t="s">
        <v>316</v>
      </c>
      <c r="B15" s="1" t="s">
        <v>317</v>
      </c>
      <c r="C15" s="1"/>
      <c r="D15" s="1"/>
      <c r="E15" s="1"/>
      <c r="F15" s="1"/>
      <c r="G15" s="1"/>
    </row>
    <row r="16" spans="1:12" ht="18" customHeight="1" x14ac:dyDescent="0.2">
      <c r="A16" s="59" t="s">
        <v>318</v>
      </c>
      <c r="B16" s="1" t="s">
        <v>319</v>
      </c>
      <c r="C16" s="1"/>
      <c r="D16" s="1"/>
      <c r="E16" s="1"/>
      <c r="F16" s="1"/>
      <c r="G16" s="1"/>
    </row>
    <row r="17" spans="1:7" ht="18" customHeight="1" x14ac:dyDescent="0.2">
      <c r="A17" s="59" t="s">
        <v>320</v>
      </c>
      <c r="B17" s="1" t="s">
        <v>321</v>
      </c>
      <c r="C17" s="1"/>
      <c r="D17" s="1"/>
      <c r="E17" s="1"/>
      <c r="F17" s="1"/>
      <c r="G17" s="1"/>
    </row>
    <row r="18" spans="1:7" ht="18" customHeight="1" x14ac:dyDescent="0.2">
      <c r="A18" s="59"/>
      <c r="B18" s="1"/>
      <c r="C18" s="1"/>
      <c r="D18" s="1"/>
      <c r="E18" s="1"/>
      <c r="F18" s="1"/>
      <c r="G18" s="1"/>
    </row>
    <row r="19" spans="1:7" ht="18" customHeight="1" x14ac:dyDescent="0.2">
      <c r="A19" s="2" t="s">
        <v>322</v>
      </c>
      <c r="B19" s="2"/>
      <c r="C19" s="2"/>
      <c r="D19" s="2"/>
      <c r="E19" s="2"/>
      <c r="F19" s="2"/>
      <c r="G19" s="2"/>
    </row>
    <row r="20" spans="1:7" ht="18" customHeight="1" x14ac:dyDescent="0.2">
      <c r="A20" s="60" t="s">
        <v>323</v>
      </c>
      <c r="B20" s="61" t="s">
        <v>324</v>
      </c>
      <c r="C20" s="61"/>
      <c r="D20" s="61"/>
      <c r="E20" s="61"/>
      <c r="F20" s="61"/>
      <c r="G20" s="61"/>
    </row>
    <row r="21" spans="1:7" ht="18" customHeight="1" x14ac:dyDescent="0.2">
      <c r="A21" s="59" t="s">
        <v>325</v>
      </c>
      <c r="B21" s="1" t="s">
        <v>326</v>
      </c>
      <c r="C21" s="1"/>
      <c r="D21" s="1"/>
      <c r="E21" s="1"/>
      <c r="F21" s="1"/>
      <c r="G21" s="1"/>
    </row>
    <row r="22" spans="1:7" ht="18" customHeight="1" x14ac:dyDescent="0.2">
      <c r="A22" s="60" t="s">
        <v>327</v>
      </c>
      <c r="B22" s="61" t="s">
        <v>328</v>
      </c>
      <c r="C22" s="61"/>
      <c r="D22" s="61"/>
      <c r="E22" s="61"/>
      <c r="F22" s="61"/>
      <c r="G22" s="61"/>
    </row>
    <row r="23" spans="1:7" ht="18" customHeight="1" x14ac:dyDescent="0.2">
      <c r="A23" s="59"/>
      <c r="B23" s="1"/>
      <c r="C23" s="1"/>
      <c r="D23" s="1"/>
      <c r="E23" s="1"/>
      <c r="F23" s="1"/>
      <c r="G23" s="1"/>
    </row>
    <row r="24" spans="1:7" ht="18" customHeight="1" x14ac:dyDescent="0.2">
      <c r="A24" s="2" t="s">
        <v>329</v>
      </c>
      <c r="B24" s="2"/>
      <c r="C24" s="2"/>
      <c r="D24" s="2"/>
      <c r="E24" s="2"/>
      <c r="F24" s="2"/>
      <c r="G24" s="2"/>
    </row>
    <row r="25" spans="1:7" ht="18" customHeight="1" x14ac:dyDescent="0.2">
      <c r="A25" s="59" t="s">
        <v>330</v>
      </c>
      <c r="B25" s="1" t="s">
        <v>331</v>
      </c>
      <c r="C25" s="1"/>
      <c r="D25" s="1"/>
      <c r="E25" s="1"/>
      <c r="F25" s="1"/>
      <c r="G25" s="1"/>
    </row>
    <row r="26" spans="1:7" ht="18" customHeight="1" x14ac:dyDescent="0.2">
      <c r="A26" s="59" t="s">
        <v>332</v>
      </c>
      <c r="B26" s="1" t="s">
        <v>333</v>
      </c>
      <c r="C26" s="1"/>
      <c r="D26" s="1"/>
      <c r="E26" s="1"/>
      <c r="F26" s="1"/>
      <c r="G26" s="1"/>
    </row>
    <row r="27" spans="1:7" ht="18" customHeight="1" x14ac:dyDescent="0.2">
      <c r="A27" s="59" t="s">
        <v>334</v>
      </c>
      <c r="B27" s="1" t="s">
        <v>335</v>
      </c>
      <c r="C27" s="1"/>
      <c r="D27" s="1"/>
      <c r="E27" s="1"/>
      <c r="F27" s="1"/>
      <c r="G27" s="1"/>
    </row>
    <row r="28" spans="1:7" ht="18" customHeight="1" x14ac:dyDescent="0.2">
      <c r="A28" s="59"/>
      <c r="B28" s="1"/>
      <c r="C28" s="1"/>
      <c r="D28" s="1"/>
      <c r="E28" s="1"/>
      <c r="F28" s="1"/>
      <c r="G28" s="1"/>
    </row>
    <row r="29" spans="1:7" ht="18" customHeight="1" x14ac:dyDescent="0.2">
      <c r="A29" s="2" t="s">
        <v>336</v>
      </c>
      <c r="B29" s="2"/>
      <c r="C29" s="2"/>
      <c r="D29" s="2"/>
      <c r="E29" s="2"/>
      <c r="F29" s="2"/>
      <c r="G29" s="2"/>
    </row>
    <row r="30" spans="1:7" ht="18" customHeight="1" x14ac:dyDescent="0.2">
      <c r="A30" s="59" t="s">
        <v>337</v>
      </c>
      <c r="B30" s="1" t="s">
        <v>338</v>
      </c>
      <c r="C30" s="1"/>
      <c r="D30" s="1"/>
      <c r="E30" s="1"/>
      <c r="F30" s="1"/>
      <c r="G30" s="1"/>
    </row>
    <row r="31" spans="1:7" ht="18" customHeight="1" x14ac:dyDescent="0.2">
      <c r="A31" s="59" t="s">
        <v>339</v>
      </c>
      <c r="B31" s="1" t="s">
        <v>340</v>
      </c>
      <c r="C31" s="1"/>
      <c r="D31" s="1"/>
      <c r="E31" s="1"/>
      <c r="F31" s="1"/>
      <c r="G31" s="1"/>
    </row>
    <row r="32" spans="1:7" ht="18" customHeight="1" x14ac:dyDescent="0.2">
      <c r="A32" s="59" t="s">
        <v>341</v>
      </c>
      <c r="B32" s="1" t="s">
        <v>342</v>
      </c>
      <c r="C32" s="1"/>
      <c r="D32" s="1"/>
      <c r="E32" s="1"/>
      <c r="F32" s="1"/>
      <c r="G32" s="1"/>
    </row>
  </sheetData>
  <mergeCells count="30">
    <mergeCell ref="B28:G28"/>
    <mergeCell ref="A29:G29"/>
    <mergeCell ref="B30:G30"/>
    <mergeCell ref="B31:G31"/>
    <mergeCell ref="B32:G32"/>
    <mergeCell ref="B23:G23"/>
    <mergeCell ref="A24:G24"/>
    <mergeCell ref="B25:G25"/>
    <mergeCell ref="B26:G26"/>
    <mergeCell ref="B27:G27"/>
    <mergeCell ref="B18:G18"/>
    <mergeCell ref="A19:G19"/>
    <mergeCell ref="B20:G20"/>
    <mergeCell ref="B21:G21"/>
    <mergeCell ref="B22:G22"/>
    <mergeCell ref="A13:G13"/>
    <mergeCell ref="B14:G14"/>
    <mergeCell ref="B15:G15"/>
    <mergeCell ref="B16:G16"/>
    <mergeCell ref="B17:G17"/>
    <mergeCell ref="B8:G8"/>
    <mergeCell ref="B9:G9"/>
    <mergeCell ref="B10:G10"/>
    <mergeCell ref="B11:G11"/>
    <mergeCell ref="B12:G12"/>
    <mergeCell ref="A1:L1"/>
    <mergeCell ref="A2:L2"/>
    <mergeCell ref="A5:G5"/>
    <mergeCell ref="B6:G6"/>
    <mergeCell ref="B7:G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Scenario</vt:lpstr>
      <vt:lpstr>Baseline Monthly</vt:lpstr>
      <vt:lpstr>Reporting Monthly</vt:lpstr>
      <vt:lpstr>No-NRA Monthly</vt:lpstr>
      <vt:lpstr>Scatter Plots</vt:lpstr>
      <vt:lpstr>Model Results</vt:lpstr>
      <vt:lpstr>Lighting Calc</vt:lpstr>
      <vt:lpstr>Fan Law Calc</vt:lpstr>
      <vt:lpstr>Savings Calc</vt:lpstr>
      <vt:lpstr>NRA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Steve Kromer</cp:lastModifiedBy>
  <cp:revision>0</cp:revision>
  <dcterms:created xsi:type="dcterms:W3CDTF">2026-03-06T22:30:28Z</dcterms:created>
  <dcterms:modified xsi:type="dcterms:W3CDTF">2026-03-06T22:39:59Z</dcterms:modified>
  <dc:language>en-US</dc:language>
</cp:coreProperties>
</file>